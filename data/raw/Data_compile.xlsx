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80179DB-FE06-4C76-AE95-22171C474B96}" xr6:coauthVersionLast="47" xr6:coauthVersionMax="47" xr10:uidLastSave="{00000000-0000-0000-0000-000000000000}"/>
  <bookViews>
    <workbookView xWindow="10245" yWindow="0" windowWidth="10245" windowHeight="10920" tabRatio="500" firstSheet="4" activeTab="4" xr2:uid="{00000000-000D-0000-FFFF-FFFF00000000}"/>
  </bookViews>
  <sheets>
    <sheet name="A1_indikator" sheetId="2" r:id="rId1"/>
    <sheet name="A2_umur_total" sheetId="3" r:id="rId2"/>
    <sheet name="A3_umur_jk" sheetId="4" r:id="rId3"/>
    <sheet name="B_provinsi" sheetId="7" r:id="rId4"/>
    <sheet name="C_matriks_raw" sheetId="8" r:id="rId5"/>
  </sheets>
  <calcPr calcId="191029" iterateDelta="1E-4"/>
</workbook>
</file>

<file path=xl/calcChain.xml><?xml version="1.0" encoding="utf-8"?>
<calcChain xmlns="http://schemas.openxmlformats.org/spreadsheetml/2006/main">
  <c r="V469" i="3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3" i="4"/>
  <c r="U481" i="3"/>
  <c r="V481" i="3"/>
  <c r="W481" i="3"/>
  <c r="X481" i="3"/>
  <c r="Y481" i="3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3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70" i="3"/>
  <c r="V471" i="3"/>
  <c r="V472" i="3"/>
  <c r="V473" i="3"/>
  <c r="V474" i="3"/>
  <c r="V475" i="3"/>
  <c r="V476" i="3"/>
  <c r="V477" i="3"/>
  <c r="V478" i="3"/>
  <c r="V479" i="3"/>
  <c r="V480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0"/>
            <rFont val="Arial"/>
            <family val="2"/>
          </rPr>
          <t>Kode BPS kab/kota (4 digit) dari file peta. Format teks agar angka 0 di depan tidak hilang.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Angka Kelahiran Total, Hasil SUPAS 2025. Titik desimal.</t>
        </r>
      </text>
    </comment>
    <comment ref="E1" authorId="0" shapeId="0" xr:uid="{00000000-0006-0000-0100-000003000000}">
      <text>
        <r>
          <rPr>
            <sz val="10"/>
            <rFont val="Arial"/>
            <family val="2"/>
          </rPr>
          <t>Angka Kematian Bayi (per 1.000 kelahiran hidup).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600-000001000000}">
      <text>
        <r>
          <rPr>
            <sz val="10"/>
            <rFont val="Arial"/>
            <family val="2"/>
          </rPr>
          <t>Persentase migrasi masuk risen antarprovinsi, SUPAS 2025.</t>
        </r>
      </text>
    </comment>
    <comment ref="O1" authorId="0" shapeId="0" xr:uid="{00000000-0006-0000-0600-000002000000}">
      <text>
        <r>
          <rPr>
            <sz val="10"/>
            <rFont val="Arial"/>
            <family val="2"/>
          </rPr>
          <t>Gini ratio tahun 2025. Pilih Maret ATAU September, pakai satu periode untuk semua provinsi.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L2" authorId="0" shapeId="0" xr:uid="{6559744C-72ED-4D73-B7C0-A1458383482C}">
      <text>
        <r>
          <rPr>
            <sz val="10"/>
            <rFont val="Arial"/>
            <family val="2"/>
          </rPr>
          <t>Total baris dari publikasi BPS (termasuk diagonal dan luar negeri).</t>
        </r>
      </text>
    </comment>
  </commentList>
</comments>
</file>

<file path=xl/sharedStrings.xml><?xml version="1.0" encoding="utf-8"?>
<sst xmlns="http://schemas.openxmlformats.org/spreadsheetml/2006/main" count="3273" uniqueCount="608">
  <si>
    <t>kode_kabkota</t>
  </si>
  <si>
    <t>nama_prov</t>
  </si>
  <si>
    <t>Aceh</t>
  </si>
  <si>
    <t>nama_kabkota</t>
  </si>
  <si>
    <t>Simeulue</t>
  </si>
  <si>
    <t>tfr</t>
  </si>
  <si>
    <t>imr</t>
  </si>
  <si>
    <t>catatan</t>
  </si>
  <si>
    <t>t0_4</t>
  </si>
  <si>
    <t>t5_9</t>
  </si>
  <si>
    <t>t10_14</t>
  </si>
  <si>
    <t>t15_19</t>
  </si>
  <si>
    <t>t20_24</t>
  </si>
  <si>
    <t>t25_29</t>
  </si>
  <si>
    <t>t30_34</t>
  </si>
  <si>
    <t>t35_39</t>
  </si>
  <si>
    <t>t40_44</t>
  </si>
  <si>
    <t>t45_49</t>
  </si>
  <si>
    <t>t50_54</t>
  </si>
  <si>
    <t>t55_59</t>
  </si>
  <si>
    <t>t60_64</t>
  </si>
  <si>
    <t>t65_69</t>
  </si>
  <si>
    <t>t70_74</t>
  </si>
  <si>
    <t>t75plus</t>
  </si>
  <si>
    <t>total</t>
  </si>
  <si>
    <t>anak_0_14</t>
  </si>
  <si>
    <t>produktif_15_64</t>
  </si>
  <si>
    <t>lansia_65plus</t>
  </si>
  <si>
    <t>l20_24</t>
  </si>
  <si>
    <t>l25_29</t>
  </si>
  <si>
    <t>l30_34</t>
  </si>
  <si>
    <t>l35_39</t>
  </si>
  <si>
    <t>rasio_jk</t>
  </si>
  <si>
    <t>rasio_ketergantungan</t>
  </si>
  <si>
    <t>kode_prov</t>
  </si>
  <si>
    <t>mig_masuk_pct</t>
  </si>
  <si>
    <t>mig_keluar_pct</t>
  </si>
  <si>
    <t>mig_neto_pct</t>
  </si>
  <si>
    <t>mig_masuk_jml</t>
  </si>
  <si>
    <t>mig_keluar_jml</t>
  </si>
  <si>
    <t>mig_neto_jml</t>
  </si>
  <si>
    <t>tfr_prov</t>
  </si>
  <si>
    <t>imr_prov</t>
  </si>
  <si>
    <t>rasio_ketergantungan_prov</t>
  </si>
  <si>
    <t>laju_pertumbuhan</t>
  </si>
  <si>
    <t>kepadatan</t>
  </si>
  <si>
    <t>rasio_jk_prov</t>
  </si>
  <si>
    <t>gini_2025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</si>
  <si>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</si>
  <si>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</si>
  <si>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</si>
  <si>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</si>
  <si>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</si>
  <si>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</si>
  <si>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</si>
  <si>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</si>
  <si>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</si>
  <si>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</si>
  <si>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</si>
  <si>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</si>
  <si>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</si>
  <si>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</si>
  <si>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</si>
  <si>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</si>
  <si>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</si>
  <si>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</si>
  <si>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</si>
  <si>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</si>
  <si>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</si>
  <si>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</si>
  <si>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</si>
  <si>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</si>
  <si>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</si>
  <si>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</si>
  <si>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</si>
  <si>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</si>
  <si>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</si>
  <si>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</si>
  <si>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</si>
  <si>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</si>
  <si>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</si>
  <si>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</si>
  <si>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</si>
  <si>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</si>
  <si>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</si>
  <si>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</si>
  <si>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</si>
  <si>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</si>
  <si>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</si>
  <si>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</si>
  <si>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</si>
  <si>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</si>
  <si>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</si>
  <si>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</si>
  <si>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</si>
  <si>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</si>
  <si>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</si>
  <si>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</si>
  <si>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</si>
  <si>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</si>
  <si>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</si>
  <si>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</si>
  <si>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</si>
  <si>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</si>
  <si>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</si>
  <si>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</si>
  <si>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</si>
  <si>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</si>
  <si>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</si>
  <si>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</si>
  <si>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</si>
  <si>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</si>
  <si>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</si>
  <si>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</si>
  <si>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</si>
  <si>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</si>
  <si>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</si>
  <si>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</si>
  <si>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</si>
  <si>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</si>
  <si>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</si>
  <si>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</si>
  <si>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</si>
  <si>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</si>
  <si>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</si>
  <si>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</si>
  <si>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</si>
  <si>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</si>
  <si>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</si>
  <si>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</si>
  <si>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</si>
  <si>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</si>
  <si>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</si>
  <si>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</si>
  <si>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</si>
  <si>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</si>
  <si>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</si>
  <si>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</si>
  <si>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</si>
  <si>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</si>
  <si>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</si>
  <si>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</si>
  <si>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</si>
  <si>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</si>
  <si>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</si>
  <si>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</si>
  <si>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</si>
  <si>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</si>
  <si>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</si>
  <si>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</si>
  <si>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</si>
  <si>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</si>
  <si>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</si>
  <si>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</si>
  <si>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</si>
  <si>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</si>
  <si>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</si>
  <si>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</si>
  <si>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</si>
  <si>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</si>
  <si>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</si>
  <si>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</si>
  <si>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</si>
  <si>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</si>
  <si>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</si>
  <si>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</si>
  <si>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</si>
  <si>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</si>
  <si>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</si>
  <si>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</si>
  <si>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</si>
  <si>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</si>
  <si>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</si>
  <si>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</si>
  <si>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</si>
  <si>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</si>
  <si>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</si>
  <si>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</si>
  <si>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</si>
  <si>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</si>
  <si>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</si>
  <si>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</si>
  <si>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</si>
  <si>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</si>
  <si>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</si>
  <si>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</si>
  <si>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</si>
  <si>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</si>
  <si>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</si>
  <si>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</si>
  <si>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</si>
  <si>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</si>
  <si>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</si>
  <si>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</si>
  <si>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</si>
  <si>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</si>
  <si>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</si>
  <si>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</si>
  <si>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</si>
  <si>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</si>
  <si>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</si>
  <si>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</si>
  <si>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</si>
  <si>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</si>
  <si>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</si>
  <si>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</si>
  <si>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</si>
  <si>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</si>
  <si>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</si>
  <si>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</si>
  <si>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</si>
  <si>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</si>
  <si>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</si>
  <si>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</si>
  <si>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</si>
  <si>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</si>
  <si>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</si>
  <si>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</si>
  <si>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</si>
  <si>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</si>
  <si>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</si>
  <si>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</si>
  <si>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</si>
  <si>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</si>
  <si>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</si>
  <si>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</si>
  <si>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</si>
  <si>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</si>
  <si>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</si>
  <si>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</si>
  <si>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</si>
  <si>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</si>
  <si>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</si>
  <si>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</si>
  <si>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</si>
  <si>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</si>
  <si>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</si>
  <si>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</si>
  <si>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</si>
  <si>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</si>
  <si>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</si>
  <si>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</si>
  <si>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</si>
  <si>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</si>
  <si>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</si>
  <si>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</si>
  <si>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</si>
  <si>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</si>
  <si>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</si>
  <si>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</si>
  <si>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</si>
  <si>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</si>
  <si>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</si>
  <si>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</si>
  <si>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</si>
  <si>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</si>
  <si>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</si>
  <si>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</si>
  <si>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</si>
  <si>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</si>
  <si>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</si>
  <si>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</si>
  <si>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</si>
  <si>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</si>
  <si>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</si>
  <si>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</si>
  <si>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</si>
  <si>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</si>
  <si>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</si>
  <si>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</si>
  <si>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</si>
  <si>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</si>
  <si>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</si>
  <si>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</si>
  <si>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</si>
  <si>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</si>
  <si>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</si>
  <si>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</si>
  <si>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</si>
  <si>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</si>
  <si>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</si>
  <si>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</si>
  <si>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</si>
  <si>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</si>
  <si>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</si>
  <si>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</si>
  <si>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</si>
  <si>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</si>
  <si>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</si>
  <si>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</si>
  <si>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</si>
  <si>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</si>
  <si>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</si>
  <si>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</si>
  <si>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</si>
  <si>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</si>
  <si>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</si>
  <si>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</si>
  <si>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</si>
  <si>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</si>
  <si>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</si>
  <si>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Daerah Istimewa Yogyakarta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</si>
  <si>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</si>
  <si>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</si>
  <si>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</si>
  <si>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</si>
  <si>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</si>
  <si>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</si>
  <si>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</si>
  <si>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</si>
  <si>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</si>
  <si>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</si>
  <si>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</si>
  <si>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</si>
  <si>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</si>
  <si>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</si>
  <si>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</si>
  <si>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</si>
  <si>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</si>
  <si>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</si>
  <si>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</si>
  <si>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</si>
  <si>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</si>
  <si>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</si>
  <si>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</si>
  <si>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</si>
  <si>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</si>
  <si>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</si>
  <si>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</si>
  <si>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</si>
  <si>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</si>
  <si>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</si>
  <si>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</si>
  <si>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</si>
  <si>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</si>
  <si>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</si>
  <si>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</si>
  <si>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</si>
  <si>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</si>
  <si>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</si>
  <si>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</si>
  <si>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</si>
  <si>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</si>
  <si>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</si>
  <si>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</si>
  <si>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</si>
  <si>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</si>
  <si>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</si>
  <si>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</si>
  <si>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</si>
  <si>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</si>
  <si>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</si>
  <si>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</si>
  <si>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</si>
  <si>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</si>
  <si>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</si>
  <si>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</si>
  <si>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</si>
  <si>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</si>
  <si>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</si>
  <si>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</si>
  <si>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</si>
  <si>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</si>
  <si>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</si>
  <si>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</si>
  <si>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</si>
  <si>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</si>
  <si>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</si>
  <si>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</si>
  <si>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</si>
  <si>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</si>
  <si>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</si>
  <si>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</si>
  <si>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</si>
  <si>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</si>
  <si>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</si>
  <si>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</si>
  <si>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</si>
  <si>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</si>
  <si>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</si>
  <si>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</si>
  <si>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</si>
  <si>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</si>
  <si>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</si>
  <si>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</si>
  <si>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</si>
  <si>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</si>
  <si>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</si>
  <si>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</si>
  <si>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</si>
  <si>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</si>
  <si>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</si>
  <si>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</si>
  <si>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</si>
  <si>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</si>
  <si>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</si>
  <si>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</si>
  <si>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</si>
  <si>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</si>
  <si>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</si>
  <si>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</si>
  <si>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</si>
  <si>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</si>
  <si>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</si>
  <si>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</si>
  <si>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</si>
  <si>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</si>
  <si>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</si>
  <si>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</si>
  <si>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</si>
  <si>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</si>
  <si>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</si>
  <si>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</si>
  <si>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</si>
  <si>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</si>
  <si>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</si>
  <si>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</si>
  <si>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</si>
  <si>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</si>
  <si>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</si>
  <si>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</si>
  <si>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</si>
  <si>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</si>
  <si>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</si>
  <si>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</si>
  <si>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</si>
  <si>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</si>
  <si>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</si>
  <si>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</si>
  <si>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</si>
  <si>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</si>
  <si>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</si>
  <si>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</si>
  <si>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</si>
  <si>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</si>
  <si>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</si>
  <si>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</si>
  <si>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</si>
  <si>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</si>
  <si>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</si>
  <si>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</si>
  <si>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</si>
  <si>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</si>
  <si>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</si>
  <si>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</si>
  <si>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</si>
  <si>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</si>
  <si>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</si>
  <si>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</si>
  <si>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</si>
  <si>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</si>
  <si>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</si>
  <si>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</si>
  <si>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</si>
  <si>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</si>
  <si>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</si>
  <si>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</si>
  <si>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</si>
  <si>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</si>
  <si>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</si>
  <si>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</si>
  <si>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</si>
  <si>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</si>
  <si>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</si>
  <si>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</si>
  <si>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</si>
  <si>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</si>
  <si>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</si>
  <si>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</si>
  <si>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</si>
  <si>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</si>
  <si>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</si>
  <si>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</si>
  <si>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</si>
  <si>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</si>
  <si>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</si>
  <si>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</si>
  <si>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</si>
  <si>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</si>
  <si>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</si>
  <si>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</si>
  <si>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</si>
  <si>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</si>
  <si>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</si>
  <si>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</si>
  <si>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</si>
  <si>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</si>
  <si>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</si>
  <si>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</si>
  <si>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</si>
  <si>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</si>
  <si>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</si>
  <si>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</si>
  <si>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</si>
  <si>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</si>
  <si>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</si>
  <si>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</si>
  <si>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</si>
  <si>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</si>
  <si>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</si>
  <si>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</si>
  <si>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</si>
  <si>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</si>
  <si>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</si>
  <si>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</si>
  <si>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</si>
  <si>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</si>
  <si>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</si>
  <si>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</si>
  <si>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</si>
  <si>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</si>
  <si>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</si>
  <si>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</si>
  <si>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</si>
  <si>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</si>
  <si>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</si>
  <si>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</si>
  <si>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</si>
  <si>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</si>
  <si>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</si>
  <si>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</si>
  <si>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</si>
  <si>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</si>
  <si>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</si>
  <si>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</si>
  <si>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</si>
  <si>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</si>
  <si>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</si>
  <si>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Tengah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</si>
  <si>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</si>
  <si>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</si>
  <si>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</si>
  <si>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</si>
  <si>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</si>
  <si>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</si>
  <si>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</si>
  <si>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</si>
  <si>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</si>
  <si>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</si>
  <si>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</si>
  <si>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</si>
  <si>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</si>
  <si>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</si>
  <si>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</si>
  <si>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</si>
  <si>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</si>
  <si>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</si>
  <si>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</si>
  <si>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</si>
  <si>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</si>
  <si>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</si>
  <si>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</si>
  <si>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</si>
  <si>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</si>
  <si>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</si>
  <si>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</si>
  <si>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</si>
  <si>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</si>
  <si>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</si>
  <si>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</si>
  <si>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</si>
  <si>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</si>
  <si>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</si>
  <si>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</si>
  <si>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</si>
  <si>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</si>
  <si>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</si>
  <si>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</si>
  <si>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</si>
  <si>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</si>
  <si>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</si>
  <si>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</si>
  <si>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</si>
  <si>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</si>
  <si>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</si>
  <si>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</si>
  <si>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</si>
  <si>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</si>
  <si>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</si>
  <si>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</si>
  <si>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</si>
  <si>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</si>
  <si>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</si>
  <si>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</si>
  <si>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</si>
  <si>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</si>
  <si>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</si>
  <si>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</si>
  <si>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</si>
  <si>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</si>
  <si>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</si>
  <si>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umur_20_39</t>
  </si>
  <si>
    <t>laki - laki</t>
  </si>
  <si>
    <t>perempuan</t>
  </si>
  <si>
    <t>rasio_jk_20_39</t>
  </si>
  <si>
    <t>NA</t>
  </si>
  <si>
    <r>
      <t>NA (</t>
    </r>
    <r>
      <rPr>
        <i/>
        <sz val="8"/>
        <color theme="1"/>
        <rFont val="Calibri"/>
        <family val="2"/>
      </rPr>
      <t>Not Applicable</t>
    </r>
    <r>
      <rPr>
        <sz val="8"/>
        <color theme="1"/>
        <rFont val="Calibri"/>
        <family val="2"/>
      </rPr>
      <t>): RSE &gt; 50%</t>
    </r>
  </si>
  <si>
    <t>Arus Migrasi Risen Antarprovinsi, Indonesia 2020 (orang). Baris = tujuan (tinggal sekarang), kolom = asal (5 tahun lalu). Sumber: BPS, LF SP2020, Tabel 5.3</t>
  </si>
  <si>
    <t>tujuan \ asal</t>
  </si>
  <si>
    <t>Luar Negeri</t>
  </si>
  <si>
    <t>Jumlah (BPS)</t>
  </si>
  <si>
    <t>kode_prov asal</t>
  </si>
  <si>
    <t xml:space="preserve">Toba </t>
  </si>
  <si>
    <t>Labuhanbatu Selatan</t>
  </si>
  <si>
    <t>Labuhanbatu Utara</t>
  </si>
  <si>
    <t>Kota Sawahlunto</t>
  </si>
  <si>
    <t>Pasangkayu</t>
  </si>
  <si>
    <t>Kepulauan Tanimbar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</si>
</sst>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i/>
      <sz val="8"/>
      <color theme="1"/>
      <name val="Calibri"/>
      <family val="2"/>
    </font>
    <font>
      <sz val="8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9"/>
      <name val="Arial"/>
      <charset val="1"/>
    </font>
  </fonts>
  <fills count="42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EDEDED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rgb="FF969696"/>
      </patternFill>
    </fill>
    <fill>
      <patternFill patternType="solid">
        <fgColor theme="0"/>
        <bgColor rgb="FFD9E2F3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19" fillId="11" borderId="8" applyNumberFormat="0" applyAlignment="0" applyProtection="0"/>
    <xf numFmtId="0" fontId="18" fillId="0" borderId="7" applyNumberFormat="0" applyFill="0" applyAlignment="0" applyProtection="0"/>
    <xf numFmtId="0" fontId="17" fillId="10" borderId="5" applyNumberFormat="0" applyAlignment="0" applyProtection="0"/>
    <xf numFmtId="0" fontId="16" fillId="10" borderId="6" applyNumberFormat="0" applyAlignment="0" applyProtection="0"/>
    <xf numFmtId="0" fontId="15" fillId="9" borderId="5" applyNumberFormat="0" applyAlignment="0" applyProtection="0"/>
    <xf numFmtId="0" fontId="14" fillId="8" borderId="0" applyNumberFormat="0" applyBorder="0" applyAlignment="0" applyProtection="0"/>
    <xf numFmtId="0" fontId="13" fillId="7" borderId="0" applyNumberFormat="0" applyBorder="0" applyAlignment="0" applyProtection="0"/>
    <xf numFmtId="0" fontId="12" fillId="6" borderId="0" applyNumberFormat="0" applyBorder="0" applyAlignment="0" applyProtection="0"/>
    <xf numFmtId="0" fontId="11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0" fillId="0" borderId="3" applyNumberFormat="0" applyFill="0" applyAlignment="0" applyProtection="0"/>
    <xf numFmtId="0" fontId="9" fillId="0" borderId="2" applyNumberFormat="0" applyFill="0" applyAlignment="0" applyProtection="0"/>
    <xf numFmtId="0" fontId="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9" applyNumberFormat="0" applyFont="0" applyAlignment="0" applyProtection="0"/>
    <xf numFmtId="43" fontId="1" fillId="0" borderId="0" applyFont="0" applyFill="0" applyBorder="0" applyAlignment="0" applyProtection="0"/>
    <xf numFmtId="0" fontId="29" fillId="0" borderId="0"/>
  </cellStyleXfs>
  <cellXfs count="7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6" fillId="5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/>
    <xf numFmtId="0" fontId="0" fillId="0" borderId="0" xfId="0" applyNumberFormat="1"/>
    <xf numFmtId="2" fontId="0" fillId="0" borderId="0" xfId="0" applyNumberFormat="1"/>
    <xf numFmtId="0" fontId="6" fillId="37" borderId="1" xfId="0" applyFont="1" applyFill="1" applyBorder="1" applyAlignment="1">
      <alignment horizontal="center" vertical="center" wrapText="1"/>
    </xf>
    <xf numFmtId="3" fontId="4" fillId="38" borderId="1" xfId="0" applyNumberFormat="1" applyFont="1" applyFill="1" applyBorder="1"/>
    <xf numFmtId="0" fontId="6" fillId="4" borderId="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25" fillId="0" borderId="0" xfId="41" applyFont="1" applyAlignment="1">
      <alignment horizontal="left" vertical="center"/>
    </xf>
    <xf numFmtId="3" fontId="24" fillId="0" borderId="12" xfId="41" applyNumberFormat="1" applyFont="1" applyBorder="1" applyAlignment="1">
      <alignment horizontal="right" indent="1"/>
    </xf>
    <xf numFmtId="3" fontId="0" fillId="0" borderId="0" xfId="0" applyNumberFormat="1"/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0" fontId="1" fillId="0" borderId="0" xfId="41" applyFont="1" applyAlignment="1">
      <alignment wrapText="1"/>
    </xf>
    <xf numFmtId="3" fontId="24" fillId="0" borderId="12" xfId="41" applyNumberFormat="1" applyFont="1" applyBorder="1" applyAlignment="1">
      <alignment horizontal="right" indent="1"/>
    </xf>
    <xf numFmtId="3" fontId="25" fillId="0" borderId="0" xfId="43" applyNumberFormat="1" applyFont="1" applyFill="1" applyAlignment="1">
      <alignment horizontal="right" vertical="center" indent="1"/>
    </xf>
    <xf numFmtId="3" fontId="28" fillId="0" borderId="12" xfId="41" applyNumberFormat="1" applyFont="1" applyBorder="1" applyAlignment="1">
      <alignment horizontal="right" indent="1"/>
    </xf>
    <xf numFmtId="4" fontId="24" fillId="0" borderId="12" xfId="41" applyNumberFormat="1" applyFont="1" applyBorder="1" applyAlignment="1">
      <alignment horizontal="right" indent="1"/>
    </xf>
    <xf numFmtId="4" fontId="24" fillId="0" borderId="12" xfId="41" applyNumberFormat="1" applyFont="1" applyBorder="1" applyAlignment="1">
      <alignment horizontal="right" indent="1"/>
    </xf>
    <xf numFmtId="4" fontId="25" fillId="0" borderId="0" xfId="43" applyNumberFormat="1" applyFont="1" applyFill="1" applyAlignment="1">
      <alignment horizontal="right" vertical="center" indent="1"/>
    </xf>
    <xf numFmtId="4" fontId="24" fillId="0" borderId="12" xfId="41" applyNumberFormat="1" applyFont="1" applyBorder="1" applyAlignment="1">
      <alignment horizontal="right" indent="1"/>
    </xf>
    <xf numFmtId="0" fontId="29" fillId="0" borderId="0" xfId="44" applyNumberFormat="1"/>
    <xf numFmtId="1" fontId="29" fillId="0" borderId="0" xfId="44" applyNumberFormat="1"/>
    <xf numFmtId="0" fontId="2" fillId="39" borderId="1" xfId="0" applyFont="1" applyFill="1" applyBorder="1" applyAlignment="1">
      <alignment horizontal="center" vertical="center" wrapText="1"/>
    </xf>
    <xf numFmtId="0" fontId="30" fillId="0" borderId="0" xfId="0" applyFont="1"/>
    <xf numFmtId="0" fontId="2" fillId="39" borderId="1" xfId="0" applyFont="1" applyFill="1" applyBorder="1"/>
    <xf numFmtId="3" fontId="4" fillId="40" borderId="1" xfId="0" applyNumberFormat="1" applyFont="1" applyFill="1" applyBorder="1"/>
    <xf numFmtId="3" fontId="4" fillId="0" borderId="1" xfId="0" applyNumberFormat="1" applyFont="1" applyBorder="1"/>
    <xf numFmtId="3" fontId="4" fillId="41" borderId="1" xfId="0" applyNumberFormat="1" applyFont="1" applyFill="1" applyBorder="1"/>
    <xf numFmtId="0" fontId="2" fillId="41" borderId="0" xfId="0" applyFont="1" applyFill="1"/>
    <xf numFmtId="3" fontId="2" fillId="41" borderId="1" xfId="0" applyNumberFormat="1" applyFont="1" applyFill="1" applyBorder="1"/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3" builtinId="22" customBuiltin="1"/>
    <cellStyle name="Check Cell" xfId="1" builtinId="23" customBuiltin="1"/>
    <cellStyle name="Comma 2" xfId="43" xr:uid="{F9F89845-9789-4774-8767-24E832258A01}"/>
    <cellStyle name="Explanatory Text" xfId="15" builtinId="53" customBuiltin="1"/>
    <cellStyle name="Good" xfId="8" builtinId="26" customBuiltin="1"/>
    <cellStyle name="Heading 1" xfId="12" builtinId="16" customBuiltin="1"/>
    <cellStyle name="Heading 2" xfId="11" builtinId="17" customBuiltin="1"/>
    <cellStyle name="Heading 3" xfId="10" builtinId="18" customBuiltin="1"/>
    <cellStyle name="Heading 4" xfId="9" builtinId="19" customBuiltin="1"/>
    <cellStyle name="Input" xfId="5" builtinId="20" customBuiltin="1"/>
    <cellStyle name="Linked Cell" xfId="2" builtinId="24" customBuiltin="1"/>
    <cellStyle name="Neutral" xfId="6" builtinId="28" customBuiltin="1"/>
    <cellStyle name="Normal" xfId="0" builtinId="0"/>
    <cellStyle name="Normal 2" xfId="41" xr:uid="{0B6AE8F8-8906-41F4-B3E3-D4560908B63B}"/>
    <cellStyle name="Normal 3" xfId="44" xr:uid="{B8899E6F-45FB-486F-ACD2-64B50E836C45}"/>
    <cellStyle name="Note 2" xfId="42" xr:uid="{DAC00E32-6425-4354-A322-C2EC53108377}"/>
    <cellStyle name="Output" xfId="4" builtinId="21" customBuiltin="1"/>
    <cellStyle name="Title" xfId="13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9C4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515"/>
  <sheetViews>
    <sheetView zoomScaleNormal="100" workbookViewId="0">
      <pane xSplit="3" ySplit="1" topLeftCell="D506" activePane="bottomRight" state="frozen"/>
      <selection pane="topRight" activeCell="D1" sqref="D1"/>
      <selection pane="bottomLeft" activeCell="A2" sqref="A2"/>
      <selection pane="bottomRight" activeCell="A2" sqref="A2:C515"/>
    </sheetView>
  </sheetViews>
  <sheetFormatPr defaultColWidth="8.7109375" defaultRowHeight="15" x14ac:dyDescent="0.25"/>
  <cols>
    <col min="1" max="1" width="14" customWidth="1"/>
    <col min="2" max="2" width="25.85546875" customWidth="1"/>
    <col min="3" max="3" width="28" customWidth="1"/>
    <col min="4" max="5" width="10" customWidth="1"/>
    <col min="6" max="6" width="9.7109375" customWidth="1"/>
  </cols>
  <sheetData>
    <row r="1" spans="1:13" ht="31.5" customHeight="1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6</v>
      </c>
      <c r="F1" s="10" t="s">
        <v>25</v>
      </c>
      <c r="G1" s="10" t="s">
        <v>26</v>
      </c>
      <c r="H1" s="10" t="s">
        <v>27</v>
      </c>
      <c r="I1" s="10" t="s">
        <v>591</v>
      </c>
      <c r="J1" s="10" t="s">
        <v>33</v>
      </c>
      <c r="K1" s="10" t="s">
        <v>32</v>
      </c>
      <c r="L1" s="10" t="s">
        <v>594</v>
      </c>
      <c r="M1" s="4" t="s">
        <v>7</v>
      </c>
    </row>
    <row r="2" spans="1:13" x14ac:dyDescent="0.25">
      <c r="A2" s="18">
        <v>1101</v>
      </c>
      <c r="B2" t="s">
        <v>2</v>
      </c>
      <c r="C2" t="s">
        <v>4</v>
      </c>
      <c r="D2" s="9">
        <v>2.69</v>
      </c>
      <c r="E2" s="8">
        <v>29.61</v>
      </c>
      <c r="F2" s="11">
        <v>26.337545765914726</v>
      </c>
      <c r="G2" s="11">
        <v>68.056375733238852</v>
      </c>
      <c r="H2" s="11">
        <v>5.6060785008464231</v>
      </c>
      <c r="I2" s="11">
        <v>33.155190740522031</v>
      </c>
      <c r="J2" s="11">
        <v>46.937004685601899</v>
      </c>
      <c r="K2" s="11">
        <v>105.05761972996427</v>
      </c>
      <c r="L2" s="11">
        <v>107.26635082753953</v>
      </c>
      <c r="M2" s="5"/>
    </row>
    <row r="3" spans="1:13" x14ac:dyDescent="0.25">
      <c r="A3" s="18">
        <v>1102</v>
      </c>
      <c r="B3" t="s">
        <v>2</v>
      </c>
      <c r="C3" t="s">
        <v>84</v>
      </c>
      <c r="D3" s="9">
        <v>3.01</v>
      </c>
      <c r="E3" s="8">
        <v>27.62</v>
      </c>
      <c r="F3" s="11">
        <v>30.384812578329722</v>
      </c>
      <c r="G3" s="11">
        <v>65.549162584026433</v>
      </c>
      <c r="H3" s="11">
        <v>4.0660248376438419</v>
      </c>
      <c r="I3" s="11">
        <v>32.836532983935285</v>
      </c>
      <c r="J3" s="11">
        <v>52.557250249858775</v>
      </c>
      <c r="K3" s="11">
        <v>102.11277740997669</v>
      </c>
      <c r="L3" s="11">
        <v>102.03732912723449</v>
      </c>
      <c r="M3" s="5"/>
    </row>
    <row r="4" spans="1:13" x14ac:dyDescent="0.25">
      <c r="A4" s="18">
        <v>1103</v>
      </c>
      <c r="B4" t="s">
        <v>2</v>
      </c>
      <c r="C4" t="s">
        <v>85</v>
      </c>
      <c r="D4" s="9">
        <v>2.35</v>
      </c>
      <c r="E4" s="8">
        <v>26.68</v>
      </c>
      <c r="F4" s="11">
        <v>23.922138832973541</v>
      </c>
      <c r="G4" s="11">
        <v>68.804095568669226</v>
      </c>
      <c r="H4" s="11">
        <v>7.2737655983572358</v>
      </c>
      <c r="I4" s="11">
        <v>32.664509256746634</v>
      </c>
      <c r="J4" s="11">
        <v>45.340185309457375</v>
      </c>
      <c r="K4" s="11">
        <v>100.90892816456727</v>
      </c>
      <c r="L4" s="11">
        <v>108.25543562464495</v>
      </c>
      <c r="M4" s="5"/>
    </row>
    <row r="5" spans="1:13" x14ac:dyDescent="0.25">
      <c r="A5" s="18">
        <v>1104</v>
      </c>
      <c r="B5" t="s">
        <v>2</v>
      </c>
      <c r="C5" t="s">
        <v>86</v>
      </c>
      <c r="D5" s="9">
        <v>2.65</v>
      </c>
      <c r="E5" s="8">
        <v>18.71</v>
      </c>
      <c r="F5" s="11">
        <v>27.195352383478088</v>
      </c>
      <c r="G5" s="11">
        <v>67.236706888550017</v>
      </c>
      <c r="H5" s="11">
        <v>5.5679407279718891</v>
      </c>
      <c r="I5" s="11">
        <v>33.115096466220251</v>
      </c>
      <c r="J5" s="11">
        <v>48.728283444573869</v>
      </c>
      <c r="K5" s="11">
        <v>101.39869477408909</v>
      </c>
      <c r="L5" s="11">
        <v>106.76308504307779</v>
      </c>
      <c r="M5" s="5"/>
    </row>
    <row r="6" spans="1:13" x14ac:dyDescent="0.25">
      <c r="A6" s="18">
        <v>1105</v>
      </c>
      <c r="B6" t="s">
        <v>2</v>
      </c>
      <c r="C6" t="s">
        <v>87</v>
      </c>
      <c r="D6" s="9">
        <v>2.35</v>
      </c>
      <c r="E6" s="8">
        <v>19.329999999999998</v>
      </c>
      <c r="F6" s="11">
        <v>27.789917501226807</v>
      </c>
      <c r="G6" s="11">
        <v>66.921050720571444</v>
      </c>
      <c r="H6" s="11">
        <v>5.2890317782017515</v>
      </c>
      <c r="I6" s="11">
        <v>32.552796794232783</v>
      </c>
      <c r="J6" s="11">
        <v>49.429811581335706</v>
      </c>
      <c r="K6" s="11">
        <v>100.97873149675598</v>
      </c>
      <c r="L6" s="11">
        <v>104.78708677113903</v>
      </c>
      <c r="M6" s="5"/>
    </row>
    <row r="7" spans="1:13" x14ac:dyDescent="0.25">
      <c r="A7" s="18">
        <v>1106</v>
      </c>
      <c r="B7" t="s">
        <v>2</v>
      </c>
      <c r="C7" t="s">
        <v>88</v>
      </c>
      <c r="D7" s="9">
        <v>2.4700000000000002</v>
      </c>
      <c r="E7" s="8">
        <v>17.2</v>
      </c>
      <c r="F7" s="11">
        <v>26.846939873077336</v>
      </c>
      <c r="G7" s="11">
        <v>67.182101753253747</v>
      </c>
      <c r="H7" s="11">
        <v>5.9709583736689256</v>
      </c>
      <c r="I7" s="11">
        <v>31.201462837474452</v>
      </c>
      <c r="J7" s="11">
        <v>48.849168737351746</v>
      </c>
      <c r="K7" s="11">
        <v>102.54372434707591</v>
      </c>
      <c r="L7" s="11">
        <v>103.08036964435732</v>
      </c>
      <c r="M7" s="5"/>
    </row>
    <row r="8" spans="1:13" x14ac:dyDescent="0.25">
      <c r="A8" s="18">
        <v>1107</v>
      </c>
      <c r="B8" t="s">
        <v>2</v>
      </c>
      <c r="C8" t="s">
        <v>89</v>
      </c>
      <c r="D8" s="9">
        <v>2.2400000000000002</v>
      </c>
      <c r="E8" s="8">
        <v>20.34</v>
      </c>
      <c r="F8" s="11">
        <v>24.123793525609997</v>
      </c>
      <c r="G8" s="11">
        <v>69.073446649394029</v>
      </c>
      <c r="H8" s="11">
        <v>6.8027598249959658</v>
      </c>
      <c r="I8" s="11">
        <v>30.496161110003889</v>
      </c>
      <c r="J8" s="11">
        <v>44.773432991673765</v>
      </c>
      <c r="K8" s="11">
        <v>101.91627782195863</v>
      </c>
      <c r="L8" s="11">
        <v>102.85019885108264</v>
      </c>
      <c r="M8" s="5"/>
    </row>
    <row r="9" spans="1:13" x14ac:dyDescent="0.25">
      <c r="A9" s="18">
        <v>1108</v>
      </c>
      <c r="B9" t="s">
        <v>2</v>
      </c>
      <c r="C9" t="s">
        <v>90</v>
      </c>
      <c r="D9" s="9">
        <v>2.19</v>
      </c>
      <c r="E9" s="8">
        <v>15.6</v>
      </c>
      <c r="F9" s="11">
        <v>25.57094550804656</v>
      </c>
      <c r="G9" s="11">
        <v>68.061616407392336</v>
      </c>
      <c r="H9" s="11">
        <v>6.3674380845611056</v>
      </c>
      <c r="I9" s="11">
        <v>30.543737052390775</v>
      </c>
      <c r="J9" s="11">
        <v>46.925690688031864</v>
      </c>
      <c r="K9" s="11">
        <v>101.61427864072327</v>
      </c>
      <c r="L9" s="11">
        <v>102.07161125319692</v>
      </c>
      <c r="M9" s="5"/>
    </row>
    <row r="10" spans="1:13" x14ac:dyDescent="0.25">
      <c r="A10" s="18">
        <v>1109</v>
      </c>
      <c r="B10" t="s">
        <v>2</v>
      </c>
      <c r="C10" t="s">
        <v>91</v>
      </c>
      <c r="D10" s="9">
        <v>2.29</v>
      </c>
      <c r="E10" s="8">
        <v>26.73</v>
      </c>
      <c r="F10" s="11">
        <v>24.342119526334731</v>
      </c>
      <c r="G10" s="11">
        <v>68.082661613774619</v>
      </c>
      <c r="H10" s="11">
        <v>7.5752188598906463</v>
      </c>
      <c r="I10" s="11">
        <v>32.400586227978515</v>
      </c>
      <c r="J10" s="11">
        <v>46.880274110446642</v>
      </c>
      <c r="K10" s="11">
        <v>99.652855930882836</v>
      </c>
      <c r="L10" s="11">
        <v>106.42412188013645</v>
      </c>
      <c r="M10" s="5"/>
    </row>
    <row r="11" spans="1:13" x14ac:dyDescent="0.25">
      <c r="A11" s="18">
        <v>1110</v>
      </c>
      <c r="B11" t="s">
        <v>2</v>
      </c>
      <c r="C11" t="s">
        <v>92</v>
      </c>
      <c r="D11" s="9">
        <v>2.37</v>
      </c>
      <c r="E11" s="8">
        <v>14.53</v>
      </c>
      <c r="F11" s="11">
        <v>26.352480451060682</v>
      </c>
      <c r="G11" s="11">
        <v>66.738739428265276</v>
      </c>
      <c r="H11" s="11">
        <v>6.9087801206740389</v>
      </c>
      <c r="I11" s="11">
        <v>31.732425088974779</v>
      </c>
      <c r="J11" s="11">
        <v>49.838011410877606</v>
      </c>
      <c r="K11" s="11">
        <v>98.169799158208733</v>
      </c>
      <c r="L11" s="11">
        <v>104.13030991000849</v>
      </c>
      <c r="M11" s="5"/>
    </row>
    <row r="12" spans="1:13" x14ac:dyDescent="0.25">
      <c r="A12" s="18">
        <v>1111</v>
      </c>
      <c r="B12" t="s">
        <v>2</v>
      </c>
      <c r="C12" t="s">
        <v>93</v>
      </c>
      <c r="D12" s="9">
        <v>2.25</v>
      </c>
      <c r="E12" s="8">
        <v>17.829999999999998</v>
      </c>
      <c r="F12" s="11">
        <v>26.235285737733854</v>
      </c>
      <c r="G12" s="11">
        <v>67.339215425161271</v>
      </c>
      <c r="H12" s="11">
        <v>6.42549883710487</v>
      </c>
      <c r="I12" s="11">
        <v>32.98596164149383</v>
      </c>
      <c r="J12" s="11">
        <v>48.501878687815889</v>
      </c>
      <c r="K12" s="11">
        <v>100.24185221589342</v>
      </c>
      <c r="L12" s="11">
        <v>104.40427185583926</v>
      </c>
      <c r="M12" s="5"/>
    </row>
    <row r="13" spans="1:13" x14ac:dyDescent="0.25">
      <c r="A13" s="18">
        <v>1112</v>
      </c>
      <c r="B13" t="s">
        <v>2</v>
      </c>
      <c r="C13" t="s">
        <v>94</v>
      </c>
      <c r="D13" s="9">
        <v>2.2999999999999998</v>
      </c>
      <c r="E13" s="8">
        <v>25.68</v>
      </c>
      <c r="F13" s="11">
        <v>24.632334948367838</v>
      </c>
      <c r="G13" s="11">
        <v>69.108794596975471</v>
      </c>
      <c r="H13" s="11">
        <v>6.2588704546566829</v>
      </c>
      <c r="I13" s="11">
        <v>32.390618117750698</v>
      </c>
      <c r="J13" s="11">
        <v>44.699383896324626</v>
      </c>
      <c r="K13" s="11">
        <v>102.26187235516839</v>
      </c>
      <c r="L13" s="11">
        <v>105.22093023255815</v>
      </c>
      <c r="M13" s="5"/>
    </row>
    <row r="14" spans="1:13" x14ac:dyDescent="0.25">
      <c r="A14" s="18">
        <v>1113</v>
      </c>
      <c r="B14" t="s">
        <v>2</v>
      </c>
      <c r="C14" t="s">
        <v>95</v>
      </c>
      <c r="D14" s="9">
        <v>2.66</v>
      </c>
      <c r="E14" s="8">
        <v>28.04</v>
      </c>
      <c r="F14" s="11">
        <v>28.089775831810531</v>
      </c>
      <c r="G14" s="11">
        <v>67.358108230355882</v>
      </c>
      <c r="H14" s="11">
        <v>4.5521159378335829</v>
      </c>
      <c r="I14" s="11">
        <v>33.168388485824387</v>
      </c>
      <c r="J14" s="11">
        <v>48.460226433339152</v>
      </c>
      <c r="K14" s="11">
        <v>100.80290644868302</v>
      </c>
      <c r="L14" s="11">
        <v>99.961823734729492</v>
      </c>
      <c r="M14" s="5"/>
    </row>
    <row r="15" spans="1:13" x14ac:dyDescent="0.25">
      <c r="A15" s="18">
        <v>1114</v>
      </c>
      <c r="B15" t="s">
        <v>2</v>
      </c>
      <c r="C15" t="s">
        <v>96</v>
      </c>
      <c r="D15" s="9">
        <v>2.33</v>
      </c>
      <c r="E15" s="8">
        <v>14.79</v>
      </c>
      <c r="F15" s="11">
        <v>25.53311808526098</v>
      </c>
      <c r="G15" s="11">
        <v>68.23721938243601</v>
      </c>
      <c r="H15" s="11">
        <v>6.2296625323030073</v>
      </c>
      <c r="I15" s="11">
        <v>31.817119172032072</v>
      </c>
      <c r="J15" s="11">
        <v>46.547589284887543</v>
      </c>
      <c r="K15" s="11">
        <v>102.71798648691922</v>
      </c>
      <c r="L15" s="11">
        <v>107.30738354500731</v>
      </c>
      <c r="M15" s="5"/>
    </row>
    <row r="16" spans="1:13" x14ac:dyDescent="0.25">
      <c r="A16" s="18">
        <v>1115</v>
      </c>
      <c r="B16" t="s">
        <v>2</v>
      </c>
      <c r="C16" t="s">
        <v>97</v>
      </c>
      <c r="D16" s="9">
        <v>2.2799999999999998</v>
      </c>
      <c r="E16" s="8">
        <v>18.079999999999998</v>
      </c>
      <c r="F16" s="11">
        <v>24.465750387940592</v>
      </c>
      <c r="G16" s="11">
        <v>68.518621148304149</v>
      </c>
      <c r="H16" s="11">
        <v>7.0156284637552648</v>
      </c>
      <c r="I16" s="11">
        <v>31.091775659499003</v>
      </c>
      <c r="J16" s="11">
        <v>45.94572734258098</v>
      </c>
      <c r="K16" s="11">
        <v>101.36819668106287</v>
      </c>
      <c r="L16" s="11">
        <v>102.68795837999927</v>
      </c>
      <c r="M16" s="5"/>
    </row>
    <row r="17" spans="1:13" x14ac:dyDescent="0.25">
      <c r="A17" s="18">
        <v>1116</v>
      </c>
      <c r="B17" t="s">
        <v>2</v>
      </c>
      <c r="C17" t="s">
        <v>98</v>
      </c>
      <c r="D17" s="9">
        <v>2.69</v>
      </c>
      <c r="E17" s="8">
        <v>24.49</v>
      </c>
      <c r="F17" s="11">
        <v>27.248097650671937</v>
      </c>
      <c r="G17" s="11">
        <v>66.920639267619961</v>
      </c>
      <c r="H17" s="11">
        <v>5.831263081708105</v>
      </c>
      <c r="I17" s="11">
        <v>29.695232878856046</v>
      </c>
      <c r="J17" s="11">
        <v>49.430730331331027</v>
      </c>
      <c r="K17" s="11">
        <v>102.6118663548809</v>
      </c>
      <c r="L17" s="11">
        <v>98.632646385345112</v>
      </c>
      <c r="M17" s="5"/>
    </row>
    <row r="18" spans="1:13" x14ac:dyDescent="0.25">
      <c r="A18" s="18">
        <v>1117</v>
      </c>
      <c r="B18" t="s">
        <v>2</v>
      </c>
      <c r="C18" t="s">
        <v>99</v>
      </c>
      <c r="D18" s="9">
        <v>2.52</v>
      </c>
      <c r="E18" s="8">
        <v>18.05</v>
      </c>
      <c r="F18" s="11">
        <v>27.109234234234236</v>
      </c>
      <c r="G18" s="11">
        <v>67.393018018018012</v>
      </c>
      <c r="H18" s="11">
        <v>5.4977477477477477</v>
      </c>
      <c r="I18" s="11">
        <v>30.618806306306308</v>
      </c>
      <c r="J18" s="11">
        <v>48.38332358593032</v>
      </c>
      <c r="K18" s="11">
        <v>102.74204043425152</v>
      </c>
      <c r="L18" s="11">
        <v>100.88289619504987</v>
      </c>
      <c r="M18" s="5"/>
    </row>
    <row r="19" spans="1:13" x14ac:dyDescent="0.25">
      <c r="A19" s="18">
        <v>1118</v>
      </c>
      <c r="B19" t="s">
        <v>2</v>
      </c>
      <c r="C19" t="s">
        <v>100</v>
      </c>
      <c r="D19" s="9">
        <v>2.44</v>
      </c>
      <c r="E19" s="8">
        <v>16.73</v>
      </c>
      <c r="F19" s="11">
        <v>25.466056982061204</v>
      </c>
      <c r="G19" s="11">
        <v>67.1503107046547</v>
      </c>
      <c r="H19" s="11">
        <v>7.3836323132840898</v>
      </c>
      <c r="I19" s="11">
        <v>32.169656466174231</v>
      </c>
      <c r="J19" s="11">
        <v>48.919638569994326</v>
      </c>
      <c r="K19" s="11">
        <v>99.634857102731544</v>
      </c>
      <c r="L19" s="11">
        <v>104.32289533454966</v>
      </c>
      <c r="M19" s="5"/>
    </row>
    <row r="20" spans="1:13" x14ac:dyDescent="0.25">
      <c r="A20" s="18">
        <v>1171</v>
      </c>
      <c r="B20" t="s">
        <v>2</v>
      </c>
      <c r="C20" t="s">
        <v>101</v>
      </c>
      <c r="D20" s="9">
        <v>1.98</v>
      </c>
      <c r="E20" s="8">
        <v>9.4700000000000006</v>
      </c>
      <c r="F20" s="11">
        <v>25.885263760409167</v>
      </c>
      <c r="G20" s="11">
        <v>68.53930094721099</v>
      </c>
      <c r="H20" s="11">
        <v>5.5754352923798445</v>
      </c>
      <c r="I20" s="11">
        <v>30.710315921638138</v>
      </c>
      <c r="J20" s="11">
        <v>45.901692340019714</v>
      </c>
      <c r="K20" s="11">
        <v>100.53392773832357</v>
      </c>
      <c r="L20" s="11">
        <v>97.675303066318037</v>
      </c>
      <c r="M20" s="5"/>
    </row>
    <row r="21" spans="1:13" x14ac:dyDescent="0.25">
      <c r="A21" s="18">
        <v>1172</v>
      </c>
      <c r="B21" t="s">
        <v>2</v>
      </c>
      <c r="C21" t="s">
        <v>102</v>
      </c>
      <c r="D21" s="9">
        <v>2.31</v>
      </c>
      <c r="E21" s="8">
        <v>14.78</v>
      </c>
      <c r="F21" s="11">
        <v>26.095045953822009</v>
      </c>
      <c r="G21" s="11">
        <v>67.307778524994404</v>
      </c>
      <c r="H21" s="11">
        <v>6.5971755211835914</v>
      </c>
      <c r="I21" s="11">
        <v>29.470970634386905</v>
      </c>
      <c r="J21" s="11">
        <v>48.571238260174518</v>
      </c>
      <c r="K21" s="11">
        <v>100.76507650765076</v>
      </c>
      <c r="L21" s="11">
        <v>96.575956937799049</v>
      </c>
      <c r="M21" s="5"/>
    </row>
    <row r="22" spans="1:13" x14ac:dyDescent="0.25">
      <c r="A22" s="18">
        <v>1173</v>
      </c>
      <c r="B22" t="s">
        <v>2</v>
      </c>
      <c r="C22" t="s">
        <v>103</v>
      </c>
      <c r="D22" s="9">
        <v>2.2000000000000002</v>
      </c>
      <c r="E22" s="8">
        <v>12.72</v>
      </c>
      <c r="F22" s="11">
        <v>24.154885089837073</v>
      </c>
      <c r="G22" s="11">
        <v>69.416707883821488</v>
      </c>
      <c r="H22" s="11">
        <v>6.4284070263414348</v>
      </c>
      <c r="I22" s="11">
        <v>32.771310901406935</v>
      </c>
      <c r="J22" s="11">
        <v>44.057537512962867</v>
      </c>
      <c r="K22" s="11">
        <v>99.965726260539185</v>
      </c>
      <c r="L22" s="11">
        <v>100.503355704698</v>
      </c>
      <c r="M22" s="5"/>
    </row>
    <row r="23" spans="1:13" x14ac:dyDescent="0.25">
      <c r="A23" s="18">
        <v>1174</v>
      </c>
      <c r="B23" t="s">
        <v>2</v>
      </c>
      <c r="C23" t="s">
        <v>104</v>
      </c>
      <c r="D23" s="9">
        <v>2.35</v>
      </c>
      <c r="E23" s="8">
        <v>9.84</v>
      </c>
      <c r="F23" s="11">
        <v>25.743480915142879</v>
      </c>
      <c r="G23" s="11">
        <v>68.490847602158979</v>
      </c>
      <c r="H23" s="11">
        <v>5.7656714826981403</v>
      </c>
      <c r="I23" s="11">
        <v>32.187951200131785</v>
      </c>
      <c r="J23" s="11">
        <v>46.004909416317091</v>
      </c>
      <c r="K23" s="11">
        <v>98.797931054410952</v>
      </c>
      <c r="L23" s="11">
        <v>100.98626489986084</v>
      </c>
      <c r="M23" s="5"/>
    </row>
    <row r="24" spans="1:13" x14ac:dyDescent="0.25">
      <c r="A24" s="18">
        <v>1175</v>
      </c>
      <c r="B24" t="s">
        <v>2</v>
      </c>
      <c r="C24" t="s">
        <v>105</v>
      </c>
      <c r="D24" s="9">
        <v>3.09</v>
      </c>
      <c r="E24" s="8">
        <v>28.73</v>
      </c>
      <c r="F24" s="11">
        <v>31.600305316959581</v>
      </c>
      <c r="G24" s="11">
        <v>64.969709852269105</v>
      </c>
      <c r="H24" s="11">
        <v>3.4299848307713119</v>
      </c>
      <c r="I24" s="11">
        <v>33.858298147808192</v>
      </c>
      <c r="J24" s="11">
        <v>53.917879928022252</v>
      </c>
      <c r="K24" s="11">
        <v>103.01086658036169</v>
      </c>
      <c r="L24" s="11">
        <v>104.17759133018703</v>
      </c>
      <c r="M24" s="5"/>
    </row>
    <row r="25" spans="1:13" x14ac:dyDescent="0.25">
      <c r="A25" s="19">
        <v>1201</v>
      </c>
      <c r="B25" t="s">
        <v>48</v>
      </c>
      <c r="C25" t="s">
        <v>106</v>
      </c>
      <c r="D25" s="8">
        <v>3.1</v>
      </c>
      <c r="E25" s="8">
        <v>21.27</v>
      </c>
      <c r="F25" s="11">
        <v>29.381453004864273</v>
      </c>
      <c r="G25" s="11">
        <v>65.311156441236463</v>
      </c>
      <c r="H25" s="11">
        <v>5.3073905538992623</v>
      </c>
      <c r="I25" s="11">
        <v>33.530833202573355</v>
      </c>
      <c r="J25" s="11">
        <v>53.113197574406335</v>
      </c>
      <c r="K25" s="11">
        <v>95.694896517840689</v>
      </c>
      <c r="L25" s="11">
        <v>100.183609997377</v>
      </c>
      <c r="M25" s="5"/>
    </row>
    <row r="26" spans="1:13" x14ac:dyDescent="0.25">
      <c r="A26" s="19">
        <v>1202</v>
      </c>
      <c r="B26" t="s">
        <v>48</v>
      </c>
      <c r="C26" t="s">
        <v>107</v>
      </c>
      <c r="D26" s="8">
        <v>2.94</v>
      </c>
      <c r="E26" s="8">
        <v>21.23</v>
      </c>
      <c r="F26" s="11">
        <v>29.629473393566595</v>
      </c>
      <c r="G26" s="11">
        <v>64.520792747465137</v>
      </c>
      <c r="H26" s="11">
        <v>5.8497338589682624</v>
      </c>
      <c r="I26" s="11">
        <v>31.564172968661317</v>
      </c>
      <c r="J26" s="11">
        <v>54.988796234108186</v>
      </c>
      <c r="K26" s="11">
        <v>99.617245391634512</v>
      </c>
      <c r="L26" s="11">
        <v>103.51102759370983</v>
      </c>
      <c r="M26" s="5"/>
    </row>
    <row r="27" spans="1:13" x14ac:dyDescent="0.25">
      <c r="A27" s="19">
        <v>1203</v>
      </c>
      <c r="B27" t="s">
        <v>48</v>
      </c>
      <c r="C27" t="s">
        <v>108</v>
      </c>
      <c r="D27" s="8">
        <v>2.69</v>
      </c>
      <c r="E27" s="8">
        <v>21.12</v>
      </c>
      <c r="F27" s="11">
        <v>28.123081100595844</v>
      </c>
      <c r="G27" s="11">
        <v>65.616099778140509</v>
      </c>
      <c r="H27" s="11">
        <v>6.2608191212636433</v>
      </c>
      <c r="I27" s="11">
        <v>32.017501905399612</v>
      </c>
      <c r="J27" s="11">
        <v>52.40162145893683</v>
      </c>
      <c r="K27" s="11">
        <v>101.70975813177647</v>
      </c>
      <c r="L27" s="11">
        <v>111.20315903030797</v>
      </c>
      <c r="M27" s="5"/>
    </row>
    <row r="28" spans="1:13" x14ac:dyDescent="0.25">
      <c r="A28" s="19">
        <v>1204</v>
      </c>
      <c r="B28" t="s">
        <v>48</v>
      </c>
      <c r="C28" t="s">
        <v>109</v>
      </c>
      <c r="D28" s="8">
        <v>2.84</v>
      </c>
      <c r="E28" s="8">
        <v>21.26</v>
      </c>
      <c r="F28" s="11">
        <v>26.901367655756736</v>
      </c>
      <c r="G28" s="11">
        <v>67.33179343262367</v>
      </c>
      <c r="H28" s="11">
        <v>5.7668389116195975</v>
      </c>
      <c r="I28" s="11">
        <v>34.42578660286383</v>
      </c>
      <c r="J28" s="11">
        <v>48.518248069637643</v>
      </c>
      <c r="K28" s="11">
        <v>101.91025206284617</v>
      </c>
      <c r="L28" s="11">
        <v>106.25300765585126</v>
      </c>
      <c r="M28" s="5"/>
    </row>
    <row r="29" spans="1:13" x14ac:dyDescent="0.25">
      <c r="A29" s="19">
        <v>1205</v>
      </c>
      <c r="B29" t="s">
        <v>48</v>
      </c>
      <c r="C29" t="s">
        <v>110</v>
      </c>
      <c r="D29" s="8">
        <v>2.81</v>
      </c>
      <c r="E29" s="8">
        <v>15.67</v>
      </c>
      <c r="F29" s="11">
        <v>27.649791613760961</v>
      </c>
      <c r="G29" s="11">
        <v>64.042244894910596</v>
      </c>
      <c r="H29" s="11">
        <v>8.3079634913284437</v>
      </c>
      <c r="I29" s="11">
        <v>30.34970049146289</v>
      </c>
      <c r="J29" s="11">
        <v>56.146931082902981</v>
      </c>
      <c r="K29" s="11">
        <v>100.65042112519858</v>
      </c>
      <c r="L29" s="11">
        <v>109.54866124840134</v>
      </c>
      <c r="M29" s="5"/>
    </row>
    <row r="30" spans="1:13" x14ac:dyDescent="0.25">
      <c r="A30" s="19">
        <v>1206</v>
      </c>
      <c r="B30" t="s">
        <v>48</v>
      </c>
      <c r="C30" t="s">
        <v>602</v>
      </c>
      <c r="D30" s="8">
        <v>2.92</v>
      </c>
      <c r="E30" s="8">
        <v>15.1</v>
      </c>
      <c r="F30" s="11">
        <v>27.787269244948792</v>
      </c>
      <c r="G30" s="11">
        <v>64.088984003380958</v>
      </c>
      <c r="H30" s="11">
        <v>8.1237467516702484</v>
      </c>
      <c r="I30" s="11">
        <v>29.319491776892576</v>
      </c>
      <c r="J30" s="11">
        <v>56.033055532171616</v>
      </c>
      <c r="K30" s="11">
        <v>100.2502881014117</v>
      </c>
      <c r="L30" s="11">
        <v>106.69730586370841</v>
      </c>
      <c r="M30" s="5"/>
    </row>
    <row r="31" spans="1:13" x14ac:dyDescent="0.25">
      <c r="A31" s="19">
        <v>1207</v>
      </c>
      <c r="B31" t="s">
        <v>48</v>
      </c>
      <c r="C31" t="s">
        <v>111</v>
      </c>
      <c r="D31" s="8">
        <v>2.39</v>
      </c>
      <c r="E31" s="8">
        <v>19.87</v>
      </c>
      <c r="F31" s="11">
        <v>26.897591378010777</v>
      </c>
      <c r="G31" s="11">
        <v>67.731665335418327</v>
      </c>
      <c r="H31" s="11">
        <v>5.3707432865708924</v>
      </c>
      <c r="I31" s="11">
        <v>32.776834028957467</v>
      </c>
      <c r="J31" s="11">
        <v>47.641431086602665</v>
      </c>
      <c r="K31" s="11">
        <v>103.02326643725065</v>
      </c>
      <c r="L31" s="11">
        <v>105.70722522946576</v>
      </c>
      <c r="M31" s="5"/>
    </row>
    <row r="32" spans="1:13" x14ac:dyDescent="0.25">
      <c r="A32" s="19">
        <v>1208</v>
      </c>
      <c r="B32" t="s">
        <v>48</v>
      </c>
      <c r="C32" t="s">
        <v>112</v>
      </c>
      <c r="D32" s="8">
        <v>2.4</v>
      </c>
      <c r="E32" s="8">
        <v>17.239999999999998</v>
      </c>
      <c r="F32" s="11">
        <v>26.681912881055581</v>
      </c>
      <c r="G32" s="11">
        <v>66.880792164563331</v>
      </c>
      <c r="H32" s="11">
        <v>6.4372949543810911</v>
      </c>
      <c r="I32" s="11">
        <v>31.545774563567136</v>
      </c>
      <c r="J32" s="11">
        <v>49.519760103835651</v>
      </c>
      <c r="K32" s="11">
        <v>101.98458476324528</v>
      </c>
      <c r="L32" s="11">
        <v>104.92509683742202</v>
      </c>
      <c r="M32" s="5"/>
    </row>
    <row r="33" spans="1:13" x14ac:dyDescent="0.25">
      <c r="A33" s="19">
        <v>1209</v>
      </c>
      <c r="B33" t="s">
        <v>48</v>
      </c>
      <c r="C33" t="s">
        <v>113</v>
      </c>
      <c r="D33" s="8">
        <v>2.36</v>
      </c>
      <c r="E33" s="8">
        <v>15.75</v>
      </c>
      <c r="F33" s="11">
        <v>24.132122725492948</v>
      </c>
      <c r="G33" s="11">
        <v>67.632739603572716</v>
      </c>
      <c r="H33" s="11">
        <v>8.2351376709343302</v>
      </c>
      <c r="I33" s="11">
        <v>31.653325600809701</v>
      </c>
      <c r="J33" s="11">
        <v>47.857384731340183</v>
      </c>
      <c r="K33" s="11">
        <v>101.55530490006663</v>
      </c>
      <c r="L33" s="11">
        <v>106.47125792869147</v>
      </c>
      <c r="M33" s="5"/>
    </row>
    <row r="34" spans="1:13" x14ac:dyDescent="0.25">
      <c r="A34" s="19">
        <v>1210</v>
      </c>
      <c r="B34" t="s">
        <v>48</v>
      </c>
      <c r="C34" t="s">
        <v>114</v>
      </c>
      <c r="D34" s="8">
        <v>2.97</v>
      </c>
      <c r="E34" s="8">
        <v>15.25</v>
      </c>
      <c r="F34" s="11">
        <v>28.08791773929153</v>
      </c>
      <c r="G34" s="11">
        <v>64.720114309424389</v>
      </c>
      <c r="H34" s="11">
        <v>7.1919679512840808</v>
      </c>
      <c r="I34" s="11">
        <v>31.655412019437279</v>
      </c>
      <c r="J34" s="11">
        <v>54.511469992008713</v>
      </c>
      <c r="K34" s="11">
        <v>100.93766880387045</v>
      </c>
      <c r="L34" s="11">
        <v>107.70749851410166</v>
      </c>
      <c r="M34" s="5"/>
    </row>
    <row r="35" spans="1:13" x14ac:dyDescent="0.25">
      <c r="A35" s="19">
        <v>1211</v>
      </c>
      <c r="B35" t="s">
        <v>48</v>
      </c>
      <c r="C35" t="s">
        <v>115</v>
      </c>
      <c r="D35" s="8">
        <v>2.3199999999999998</v>
      </c>
      <c r="E35" s="8">
        <v>14.61</v>
      </c>
      <c r="F35" s="11">
        <v>24.550962525168725</v>
      </c>
      <c r="G35" s="11">
        <v>67.940358407211107</v>
      </c>
      <c r="H35" s="11">
        <v>7.5086790676201636</v>
      </c>
      <c r="I35" s="11">
        <v>31.187963807316699</v>
      </c>
      <c r="J35" s="11">
        <v>47.187919440510512</v>
      </c>
      <c r="K35" s="11">
        <v>98.604245816141727</v>
      </c>
      <c r="L35" s="11">
        <v>102.97783727502603</v>
      </c>
      <c r="M35" s="5"/>
    </row>
    <row r="36" spans="1:13" x14ac:dyDescent="0.25">
      <c r="A36" s="19">
        <v>1212</v>
      </c>
      <c r="B36" t="s">
        <v>48</v>
      </c>
      <c r="C36" t="s">
        <v>116</v>
      </c>
      <c r="D36" s="8">
        <v>2.2000000000000002</v>
      </c>
      <c r="E36" s="8">
        <v>14.28</v>
      </c>
      <c r="F36" s="11">
        <v>25.625005932999816</v>
      </c>
      <c r="G36" s="11">
        <v>68.155264232079972</v>
      </c>
      <c r="H36" s="11">
        <v>6.219729834920213</v>
      </c>
      <c r="I36" s="11">
        <v>31.076863199263361</v>
      </c>
      <c r="J36" s="11">
        <v>46.723809417689928</v>
      </c>
      <c r="K36" s="11">
        <v>100.88272227047838</v>
      </c>
      <c r="L36" s="11">
        <v>103.66743602983719</v>
      </c>
      <c r="M36" s="5"/>
    </row>
    <row r="37" spans="1:13" x14ac:dyDescent="0.25">
      <c r="A37" s="19">
        <v>1213</v>
      </c>
      <c r="B37" t="s">
        <v>48</v>
      </c>
      <c r="C37" t="s">
        <v>117</v>
      </c>
      <c r="D37" s="8">
        <v>2.36</v>
      </c>
      <c r="E37" s="8">
        <v>14.99</v>
      </c>
      <c r="F37" s="11">
        <v>25.743932689424572</v>
      </c>
      <c r="G37" s="11">
        <v>67.215442906857362</v>
      </c>
      <c r="H37" s="11">
        <v>7.0406244037180734</v>
      </c>
      <c r="I37" s="11">
        <v>30.508918106072308</v>
      </c>
      <c r="J37" s="11">
        <v>48.775334469748685</v>
      </c>
      <c r="K37" s="11">
        <v>101.82724100179166</v>
      </c>
      <c r="L37" s="11">
        <v>104.32166002373202</v>
      </c>
      <c r="M37" s="5"/>
    </row>
    <row r="38" spans="1:13" x14ac:dyDescent="0.25">
      <c r="A38" s="19">
        <v>1214</v>
      </c>
      <c r="B38" t="s">
        <v>48</v>
      </c>
      <c r="C38" t="s">
        <v>118</v>
      </c>
      <c r="D38" s="8">
        <v>3.11</v>
      </c>
      <c r="E38" s="8">
        <v>21.45</v>
      </c>
      <c r="F38" s="11">
        <v>27.977988004699188</v>
      </c>
      <c r="G38" s="11">
        <v>67.70543498423298</v>
      </c>
      <c r="H38" s="11">
        <v>4.316577011067829</v>
      </c>
      <c r="I38" s="11">
        <v>36.463241204476596</v>
      </c>
      <c r="J38" s="11">
        <v>47.698630136986303</v>
      </c>
      <c r="K38" s="11">
        <v>101.62617437615941</v>
      </c>
      <c r="L38" s="11">
        <v>105.23421730354283</v>
      </c>
      <c r="M38" s="5"/>
    </row>
    <row r="39" spans="1:13" x14ac:dyDescent="0.25">
      <c r="A39" s="19">
        <v>1215</v>
      </c>
      <c r="B39" t="s">
        <v>48</v>
      </c>
      <c r="C39" t="s">
        <v>119</v>
      </c>
      <c r="D39" s="8">
        <v>3.05</v>
      </c>
      <c r="E39" s="8">
        <v>15.93</v>
      </c>
      <c r="F39" s="11">
        <v>28.658139425119177</v>
      </c>
      <c r="G39" s="11">
        <v>63.51630716949073</v>
      </c>
      <c r="H39" s="11">
        <v>7.8255534053900986</v>
      </c>
      <c r="I39" s="11">
        <v>29.957049133902864</v>
      </c>
      <c r="J39" s="11">
        <v>57.43988348244806</v>
      </c>
      <c r="K39" s="11">
        <v>100.82654811893951</v>
      </c>
      <c r="L39" s="11">
        <v>109.08551851363816</v>
      </c>
      <c r="M39" s="5"/>
    </row>
    <row r="40" spans="1:13" x14ac:dyDescent="0.25">
      <c r="A40" s="19">
        <v>1216</v>
      </c>
      <c r="B40" t="s">
        <v>48</v>
      </c>
      <c r="C40" t="s">
        <v>120</v>
      </c>
      <c r="D40" s="8">
        <v>3.2</v>
      </c>
      <c r="E40" s="8">
        <v>21</v>
      </c>
      <c r="F40" s="11">
        <v>32.594703146186987</v>
      </c>
      <c r="G40" s="11">
        <v>62.561576354679801</v>
      </c>
      <c r="H40" s="11">
        <v>4.8437204991332115</v>
      </c>
      <c r="I40" s="11">
        <v>31.317691079796088</v>
      </c>
      <c r="J40" s="11">
        <v>59.842519685039377</v>
      </c>
      <c r="K40" s="11">
        <v>102.32323933879705</v>
      </c>
      <c r="L40" s="11">
        <v>105.01123595505616</v>
      </c>
      <c r="M40" s="5"/>
    </row>
    <row r="41" spans="1:13" x14ac:dyDescent="0.25">
      <c r="A41" s="19">
        <v>1217</v>
      </c>
      <c r="B41" t="s">
        <v>48</v>
      </c>
      <c r="C41" t="s">
        <v>121</v>
      </c>
      <c r="D41" s="8">
        <v>2.95</v>
      </c>
      <c r="E41" s="8">
        <v>15.79</v>
      </c>
      <c r="F41" s="11">
        <v>28.020526958693594</v>
      </c>
      <c r="G41" s="11">
        <v>63.46706337562015</v>
      </c>
      <c r="H41" s="11">
        <v>8.5124096656862669</v>
      </c>
      <c r="I41" s="11">
        <v>30.638260121878819</v>
      </c>
      <c r="J41" s="11">
        <v>57.562040342350862</v>
      </c>
      <c r="K41" s="11">
        <v>100.43358728508707</v>
      </c>
      <c r="L41" s="11">
        <v>111.46907823465686</v>
      </c>
      <c r="M41" s="5"/>
    </row>
    <row r="42" spans="1:13" x14ac:dyDescent="0.25">
      <c r="A42" s="19">
        <v>1218</v>
      </c>
      <c r="B42" t="s">
        <v>48</v>
      </c>
      <c r="C42" t="s">
        <v>122</v>
      </c>
      <c r="D42" s="8">
        <v>2.33</v>
      </c>
      <c r="E42" s="8">
        <v>17.64</v>
      </c>
      <c r="F42" s="11">
        <v>26.027331500691126</v>
      </c>
      <c r="G42" s="11">
        <v>67.001850996869834</v>
      </c>
      <c r="H42" s="11">
        <v>6.9708175024390515</v>
      </c>
      <c r="I42" s="11">
        <v>30.19638074342021</v>
      </c>
      <c r="J42" s="11">
        <v>49.249608051383198</v>
      </c>
      <c r="K42" s="11">
        <v>101.30257331415807</v>
      </c>
      <c r="L42" s="11">
        <v>105.01830940010353</v>
      </c>
      <c r="M42" s="5"/>
    </row>
    <row r="43" spans="1:13" x14ac:dyDescent="0.25">
      <c r="A43" s="19">
        <v>1219</v>
      </c>
      <c r="B43" t="s">
        <v>48</v>
      </c>
      <c r="C43" t="s">
        <v>123</v>
      </c>
      <c r="D43" s="8">
        <v>2.42</v>
      </c>
      <c r="E43" s="8">
        <v>19.89</v>
      </c>
      <c r="F43" s="11">
        <v>28.398764711236819</v>
      </c>
      <c r="G43" s="11">
        <v>65.190122130184875</v>
      </c>
      <c r="H43" s="11">
        <v>6.4111131585783081</v>
      </c>
      <c r="I43" s="11">
        <v>30.771433836344219</v>
      </c>
      <c r="J43" s="11">
        <v>53.397473010250998</v>
      </c>
      <c r="K43" s="11">
        <v>101.12929009671974</v>
      </c>
      <c r="L43" s="11">
        <v>102.07467669742962</v>
      </c>
      <c r="M43" s="5"/>
    </row>
    <row r="44" spans="1:13" x14ac:dyDescent="0.25">
      <c r="A44" s="19">
        <v>1220</v>
      </c>
      <c r="B44" t="s">
        <v>48</v>
      </c>
      <c r="C44" t="s">
        <v>124</v>
      </c>
      <c r="D44" s="8">
        <v>2.97</v>
      </c>
      <c r="E44" s="8">
        <v>19.91</v>
      </c>
      <c r="F44" s="11">
        <v>29.92971435058881</v>
      </c>
      <c r="G44" s="11">
        <v>65.618861186702489</v>
      </c>
      <c r="H44" s="11">
        <v>4.4514244627086983</v>
      </c>
      <c r="I44" s="11">
        <v>32.034155454104472</v>
      </c>
      <c r="J44" s="11">
        <v>52.395208011114903</v>
      </c>
      <c r="K44" s="11">
        <v>103.80659229706706</v>
      </c>
      <c r="L44" s="11">
        <v>107.82983282369484</v>
      </c>
      <c r="M44" s="5"/>
    </row>
    <row r="45" spans="1:13" x14ac:dyDescent="0.25">
      <c r="A45" s="19">
        <v>1221</v>
      </c>
      <c r="B45" t="s">
        <v>48</v>
      </c>
      <c r="C45" t="s">
        <v>125</v>
      </c>
      <c r="D45" s="8">
        <v>3.1</v>
      </c>
      <c r="E45" s="8">
        <v>20.98</v>
      </c>
      <c r="F45" s="11">
        <v>30.752097383305621</v>
      </c>
      <c r="G45" s="11">
        <v>64.879630681524787</v>
      </c>
      <c r="H45" s="11">
        <v>4.3682719351695978</v>
      </c>
      <c r="I45" s="11">
        <v>32.622099207865574</v>
      </c>
      <c r="J45" s="11">
        <v>54.131580204071881</v>
      </c>
      <c r="K45" s="11">
        <v>100.4395467906874</v>
      </c>
      <c r="L45" s="11">
        <v>103.49826053343641</v>
      </c>
      <c r="M45" s="5"/>
    </row>
    <row r="46" spans="1:13" x14ac:dyDescent="0.25">
      <c r="A46" s="19">
        <v>1222</v>
      </c>
      <c r="B46" t="s">
        <v>48</v>
      </c>
      <c r="C46" t="s">
        <v>603</v>
      </c>
      <c r="D46" s="8">
        <v>2.65</v>
      </c>
      <c r="E46" s="8">
        <v>19.78</v>
      </c>
      <c r="F46" s="11">
        <v>28.911886406703342</v>
      </c>
      <c r="G46" s="11">
        <v>67.033099747819662</v>
      </c>
      <c r="H46" s="11">
        <v>4.0550138454770002</v>
      </c>
      <c r="I46" s="11">
        <v>32.063996871468539</v>
      </c>
      <c r="J46" s="11">
        <v>49.18003251558217</v>
      </c>
      <c r="K46" s="11">
        <v>103.6726638086537</v>
      </c>
      <c r="L46" s="11">
        <v>105.00055153141892</v>
      </c>
      <c r="M46" s="5"/>
    </row>
    <row r="47" spans="1:13" x14ac:dyDescent="0.25">
      <c r="A47" s="19">
        <v>1223</v>
      </c>
      <c r="B47" t="s">
        <v>48</v>
      </c>
      <c r="C47" t="s">
        <v>604</v>
      </c>
      <c r="D47" s="8">
        <v>2.62</v>
      </c>
      <c r="E47" s="8">
        <v>15.2</v>
      </c>
      <c r="F47" s="11">
        <v>28.211774294433177</v>
      </c>
      <c r="G47" s="11">
        <v>66.551441460224794</v>
      </c>
      <c r="H47" s="11">
        <v>5.2367842453420268</v>
      </c>
      <c r="I47" s="11">
        <v>32.776872192422147</v>
      </c>
      <c r="J47" s="11">
        <v>50.259705583937055</v>
      </c>
      <c r="K47" s="11">
        <v>102.50837243669095</v>
      </c>
      <c r="L47" s="11">
        <v>104.72969973214154</v>
      </c>
      <c r="M47" s="5"/>
    </row>
    <row r="48" spans="1:13" x14ac:dyDescent="0.25">
      <c r="A48" s="19">
        <v>1224</v>
      </c>
      <c r="B48" t="s">
        <v>48</v>
      </c>
      <c r="C48" t="s">
        <v>126</v>
      </c>
      <c r="D48" s="8">
        <v>3.11</v>
      </c>
      <c r="E48" s="8">
        <v>20.09</v>
      </c>
      <c r="F48" s="11">
        <v>29.03829051082441</v>
      </c>
      <c r="G48" s="11">
        <v>65.858947650548842</v>
      </c>
      <c r="H48" s="11">
        <v>5.1027618386267557</v>
      </c>
      <c r="I48" s="11">
        <v>34.638719345053175</v>
      </c>
      <c r="J48" s="11">
        <v>51.839656671414566</v>
      </c>
      <c r="K48" s="11">
        <v>98.839659891959982</v>
      </c>
      <c r="L48" s="11">
        <v>101.52744799234503</v>
      </c>
      <c r="M48" s="5"/>
    </row>
    <row r="49" spans="1:13" x14ac:dyDescent="0.25">
      <c r="A49" s="19">
        <v>1225</v>
      </c>
      <c r="B49" t="s">
        <v>48</v>
      </c>
      <c r="C49" t="s">
        <v>127</v>
      </c>
      <c r="D49" s="8">
        <v>3.32</v>
      </c>
      <c r="E49" s="8">
        <v>21.15</v>
      </c>
      <c r="F49" s="11">
        <v>31.549128367670363</v>
      </c>
      <c r="G49" s="11">
        <v>63.456814580031697</v>
      </c>
      <c r="H49" s="11">
        <v>4.9940570522979399</v>
      </c>
      <c r="I49" s="11">
        <v>33.08934231378764</v>
      </c>
      <c r="J49" s="11">
        <v>57.587487903099934</v>
      </c>
      <c r="K49" s="11">
        <v>94.865856012352822</v>
      </c>
      <c r="L49" s="11">
        <v>97.044945145688331</v>
      </c>
      <c r="M49" s="5"/>
    </row>
    <row r="50" spans="1:13" x14ac:dyDescent="0.25">
      <c r="A50" s="19">
        <v>1271</v>
      </c>
      <c r="B50" t="s">
        <v>48</v>
      </c>
      <c r="C50" t="s">
        <v>128</v>
      </c>
      <c r="D50" s="8">
        <v>2.23</v>
      </c>
      <c r="E50" s="8">
        <v>16.72</v>
      </c>
      <c r="F50" s="11">
        <v>26.115075344385279</v>
      </c>
      <c r="G50" s="11">
        <v>67.732338801819481</v>
      </c>
      <c r="H50" s="11">
        <v>6.1525858537952445</v>
      </c>
      <c r="I50" s="11">
        <v>31.837583805807661</v>
      </c>
      <c r="J50" s="11">
        <v>47.639963079665172</v>
      </c>
      <c r="K50" s="11">
        <v>101.1055232810197</v>
      </c>
      <c r="L50" s="11">
        <v>108.2857344333968</v>
      </c>
      <c r="M50" s="5"/>
    </row>
    <row r="51" spans="1:13" x14ac:dyDescent="0.25">
      <c r="A51" s="19">
        <v>1272</v>
      </c>
      <c r="B51" t="s">
        <v>48</v>
      </c>
      <c r="C51" t="s">
        <v>129</v>
      </c>
      <c r="D51" s="8">
        <v>2.33</v>
      </c>
      <c r="E51" s="8">
        <v>16.41</v>
      </c>
      <c r="F51" s="11">
        <v>27.385284249326592</v>
      </c>
      <c r="G51" s="11">
        <v>66.960708641158533</v>
      </c>
      <c r="H51" s="11">
        <v>5.6540071095148834</v>
      </c>
      <c r="I51" s="11">
        <v>32.80143240447574</v>
      </c>
      <c r="J51" s="11">
        <v>49.341310791524869</v>
      </c>
      <c r="K51" s="11">
        <v>102.25889699557142</v>
      </c>
      <c r="L51" s="11">
        <v>106.88855770822985</v>
      </c>
      <c r="M51" s="5"/>
    </row>
    <row r="52" spans="1:13" x14ac:dyDescent="0.25">
      <c r="A52" s="19">
        <v>1273</v>
      </c>
      <c r="B52" t="s">
        <v>48</v>
      </c>
      <c r="C52" t="s">
        <v>130</v>
      </c>
      <c r="D52" s="8">
        <v>2.08</v>
      </c>
      <c r="E52" s="8">
        <v>15.19</v>
      </c>
      <c r="F52" s="11">
        <v>23.397333333333332</v>
      </c>
      <c r="G52" s="11">
        <v>67.616355555555558</v>
      </c>
      <c r="H52" s="11">
        <v>8.986311111111112</v>
      </c>
      <c r="I52" s="11">
        <v>31.133866666666666</v>
      </c>
      <c r="J52" s="11">
        <v>47.893211898764797</v>
      </c>
      <c r="K52" s="11">
        <v>97.777855912239374</v>
      </c>
      <c r="L52" s="11">
        <v>103.09405079438709</v>
      </c>
      <c r="M52" s="5"/>
    </row>
    <row r="53" spans="1:13" x14ac:dyDescent="0.25">
      <c r="A53" s="19">
        <v>1274</v>
      </c>
      <c r="B53" t="s">
        <v>48</v>
      </c>
      <c r="C53" t="s">
        <v>131</v>
      </c>
      <c r="D53" s="8">
        <v>2.14</v>
      </c>
      <c r="E53" s="8">
        <v>14.26</v>
      </c>
      <c r="F53" s="11">
        <v>25.166727065225036</v>
      </c>
      <c r="G53" s="11">
        <v>67.173834262749949</v>
      </c>
      <c r="H53" s="11">
        <v>7.6594386720250114</v>
      </c>
      <c r="I53" s="11">
        <v>30.393275747364552</v>
      </c>
      <c r="J53" s="11">
        <v>48.867488505793403</v>
      </c>
      <c r="K53" s="11">
        <v>98.81816519878268</v>
      </c>
      <c r="L53" s="11">
        <v>101.9841840402588</v>
      </c>
      <c r="M53" s="5"/>
    </row>
    <row r="54" spans="1:13" x14ac:dyDescent="0.25">
      <c r="A54" s="19">
        <v>1275</v>
      </c>
      <c r="B54" t="s">
        <v>48</v>
      </c>
      <c r="C54" t="s">
        <v>132</v>
      </c>
      <c r="D54" s="8">
        <v>1.87</v>
      </c>
      <c r="E54" s="8">
        <v>13.3</v>
      </c>
      <c r="F54" s="11">
        <v>22.461074988835314</v>
      </c>
      <c r="G54" s="11">
        <v>69.607517009959977</v>
      </c>
      <c r="H54" s="11">
        <v>7.9314080012047112</v>
      </c>
      <c r="I54" s="11">
        <v>30.68445792218543</v>
      </c>
      <c r="J54" s="11">
        <v>43.662644920506551</v>
      </c>
      <c r="K54" s="11">
        <v>99.052296936915212</v>
      </c>
      <c r="L54" s="11">
        <v>103.58495603056583</v>
      </c>
      <c r="M54" s="5"/>
    </row>
    <row r="55" spans="1:13" x14ac:dyDescent="0.25">
      <c r="A55" s="19">
        <v>1276</v>
      </c>
      <c r="B55" t="s">
        <v>48</v>
      </c>
      <c r="C55" t="s">
        <v>133</v>
      </c>
      <c r="D55" s="8">
        <v>2.09</v>
      </c>
      <c r="E55" s="8">
        <v>13.95</v>
      </c>
      <c r="F55" s="11">
        <v>25.147193468806428</v>
      </c>
      <c r="G55" s="11">
        <v>67.789109590783085</v>
      </c>
      <c r="H55" s="11">
        <v>7.0636969404104883</v>
      </c>
      <c r="I55" s="11">
        <v>30.321536661664844</v>
      </c>
      <c r="J55" s="11">
        <v>47.516320252119762</v>
      </c>
      <c r="K55" s="11">
        <v>99.980927071478973</v>
      </c>
      <c r="L55" s="11">
        <v>101.92873626489953</v>
      </c>
      <c r="M55" s="5"/>
    </row>
    <row r="56" spans="1:13" x14ac:dyDescent="0.25">
      <c r="A56" s="19">
        <v>1277</v>
      </c>
      <c r="B56" t="s">
        <v>48</v>
      </c>
      <c r="C56" t="s">
        <v>134</v>
      </c>
      <c r="D56" s="8">
        <v>2.39</v>
      </c>
      <c r="E56" s="8">
        <v>16.61</v>
      </c>
      <c r="F56" s="11">
        <v>26.05651726018543</v>
      </c>
      <c r="G56" s="11">
        <v>67.802128991859732</v>
      </c>
      <c r="H56" s="11">
        <v>6.1413537479548346</v>
      </c>
      <c r="I56" s="11">
        <v>34.080029086795804</v>
      </c>
      <c r="J56" s="11">
        <v>47.487994089397858</v>
      </c>
      <c r="K56" s="11">
        <v>104.61327359746066</v>
      </c>
      <c r="L56" s="11">
        <v>112.12502200206191</v>
      </c>
      <c r="M56" s="5"/>
    </row>
    <row r="57" spans="1:13" x14ac:dyDescent="0.25">
      <c r="A57" s="19">
        <v>1278</v>
      </c>
      <c r="B57" t="s">
        <v>48</v>
      </c>
      <c r="C57" t="s">
        <v>135</v>
      </c>
      <c r="D57" s="8">
        <v>2.62</v>
      </c>
      <c r="E57" s="8">
        <v>15.64</v>
      </c>
      <c r="F57" s="11">
        <v>29.976826344506108</v>
      </c>
      <c r="G57" s="11">
        <v>64.783389764857517</v>
      </c>
      <c r="H57" s="11">
        <v>5.2397838906363736</v>
      </c>
      <c r="I57" s="11">
        <v>31.888819879924402</v>
      </c>
      <c r="J57" s="11">
        <v>54.360555017215425</v>
      </c>
      <c r="K57" s="11">
        <v>95.885769603097771</v>
      </c>
      <c r="L57" s="11">
        <v>97.485421233301622</v>
      </c>
      <c r="M57" s="5"/>
    </row>
    <row r="58" spans="1:13" x14ac:dyDescent="0.25">
      <c r="A58" s="20">
        <v>1301</v>
      </c>
      <c r="B58" t="s">
        <v>49</v>
      </c>
      <c r="C58" t="s">
        <v>136</v>
      </c>
      <c r="D58" s="8">
        <v>2.73</v>
      </c>
      <c r="E58" s="8">
        <v>24.7</v>
      </c>
      <c r="F58" s="11">
        <v>26.114369040000838</v>
      </c>
      <c r="G58" s="11">
        <v>68.835433211292127</v>
      </c>
      <c r="H58" s="11">
        <v>5.0501977487070278</v>
      </c>
      <c r="I58" s="11">
        <v>32.791666229556348</v>
      </c>
      <c r="J58" s="11">
        <v>45.274018532065355</v>
      </c>
      <c r="K58" s="11">
        <v>106.63097199341021</v>
      </c>
      <c r="L58" s="11">
        <v>106.6371388907252</v>
      </c>
      <c r="M58" s="5"/>
    </row>
    <row r="59" spans="1:13" x14ac:dyDescent="0.25">
      <c r="A59" s="20">
        <v>1302</v>
      </c>
      <c r="B59" t="s">
        <v>49</v>
      </c>
      <c r="C59" t="s">
        <v>137</v>
      </c>
      <c r="D59" s="8">
        <v>2.4900000000000002</v>
      </c>
      <c r="E59" s="8">
        <v>16.149999999999999</v>
      </c>
      <c r="F59" s="11">
        <v>24.675270144204703</v>
      </c>
      <c r="G59" s="11">
        <v>67.044871595927432</v>
      </c>
      <c r="H59" s="11">
        <v>8.2798582598678632</v>
      </c>
      <c r="I59" s="11">
        <v>30.705615384755813</v>
      </c>
      <c r="J59" s="11">
        <v>49.153839241709257</v>
      </c>
      <c r="K59" s="11">
        <v>101.06190467450951</v>
      </c>
      <c r="L59" s="11">
        <v>106.27935783754614</v>
      </c>
      <c r="M59" s="5"/>
    </row>
    <row r="60" spans="1:13" x14ac:dyDescent="0.25">
      <c r="A60" s="20">
        <v>1303</v>
      </c>
      <c r="B60" t="s">
        <v>49</v>
      </c>
      <c r="C60" t="s">
        <v>138</v>
      </c>
      <c r="D60" s="8">
        <v>2.33</v>
      </c>
      <c r="E60" s="8">
        <v>20.81</v>
      </c>
      <c r="F60" s="11">
        <v>24.095173306185362</v>
      </c>
      <c r="G60" s="11">
        <v>67.803725868909552</v>
      </c>
      <c r="H60" s="11">
        <v>8.1011008249050924</v>
      </c>
      <c r="I60" s="11">
        <v>31.989572134001882</v>
      </c>
      <c r="J60" s="11">
        <v>47.484520531125575</v>
      </c>
      <c r="K60" s="11">
        <v>101.09537407742238</v>
      </c>
      <c r="L60" s="11">
        <v>105.76499388004896</v>
      </c>
      <c r="M60" s="5"/>
    </row>
    <row r="61" spans="1:13" x14ac:dyDescent="0.25">
      <c r="A61" s="20">
        <v>1304</v>
      </c>
      <c r="B61" t="s">
        <v>49</v>
      </c>
      <c r="C61" t="s">
        <v>139</v>
      </c>
      <c r="D61" s="8">
        <v>2.44</v>
      </c>
      <c r="E61" s="8">
        <v>20.56</v>
      </c>
      <c r="F61" s="11">
        <v>25.026506519812635</v>
      </c>
      <c r="G61" s="11">
        <v>67.806447018609944</v>
      </c>
      <c r="H61" s="11">
        <v>7.1670464615774145</v>
      </c>
      <c r="I61" s="11">
        <v>30.971483732117989</v>
      </c>
      <c r="J61" s="11">
        <v>47.478601809875549</v>
      </c>
      <c r="K61" s="11">
        <v>102.17073112207764</v>
      </c>
      <c r="L61" s="11">
        <v>103.84855744193314</v>
      </c>
      <c r="M61" s="5"/>
    </row>
    <row r="62" spans="1:13" x14ac:dyDescent="0.25">
      <c r="A62" s="20">
        <v>1305</v>
      </c>
      <c r="B62" t="s">
        <v>49</v>
      </c>
      <c r="C62" t="s">
        <v>140</v>
      </c>
      <c r="D62" s="8">
        <v>2.37</v>
      </c>
      <c r="E62" s="8">
        <v>14.6</v>
      </c>
      <c r="F62" s="11">
        <v>21.655443251475827</v>
      </c>
      <c r="G62" s="11">
        <v>67.32664543658035</v>
      </c>
      <c r="H62" s="11">
        <v>11.017911311943813</v>
      </c>
      <c r="I62" s="11">
        <v>30.807708283509761</v>
      </c>
      <c r="J62" s="11">
        <v>48.529604217689624</v>
      </c>
      <c r="K62" s="11">
        <v>102.33232142129498</v>
      </c>
      <c r="L62" s="11">
        <v>112.52257571547652</v>
      </c>
      <c r="M62" s="5"/>
    </row>
    <row r="63" spans="1:13" x14ac:dyDescent="0.25">
      <c r="A63" s="20">
        <v>1306</v>
      </c>
      <c r="B63" t="s">
        <v>49</v>
      </c>
      <c r="C63" t="s">
        <v>141</v>
      </c>
      <c r="D63" s="8">
        <v>2.4500000000000002</v>
      </c>
      <c r="E63" s="8">
        <v>14.43</v>
      </c>
      <c r="F63" s="11">
        <v>24.292721952041095</v>
      </c>
      <c r="G63" s="11">
        <v>66.786879723783656</v>
      </c>
      <c r="H63" s="11">
        <v>8.9203983241752454</v>
      </c>
      <c r="I63" s="11">
        <v>32.483841765089792</v>
      </c>
      <c r="J63" s="11">
        <v>49.730007470896602</v>
      </c>
      <c r="K63" s="11">
        <v>101.3787314144716</v>
      </c>
      <c r="L63" s="11">
        <v>111.73717939921231</v>
      </c>
      <c r="M63" s="5"/>
    </row>
    <row r="64" spans="1:13" x14ac:dyDescent="0.25">
      <c r="A64" s="20">
        <v>1307</v>
      </c>
      <c r="B64" t="s">
        <v>49</v>
      </c>
      <c r="C64" t="s">
        <v>142</v>
      </c>
      <c r="D64" s="8">
        <v>2.5099999999999998</v>
      </c>
      <c r="E64" s="8">
        <v>13.75</v>
      </c>
      <c r="F64" s="11">
        <v>22.83682731189462</v>
      </c>
      <c r="G64" s="11">
        <v>66.914072159741991</v>
      </c>
      <c r="H64" s="11">
        <v>10.249100528363398</v>
      </c>
      <c r="I64" s="11">
        <v>31.688394464897097</v>
      </c>
      <c r="J64" s="11">
        <v>49.445395822380924</v>
      </c>
      <c r="K64" s="11">
        <v>101.89722764270522</v>
      </c>
      <c r="L64" s="11">
        <v>108.91993983719301</v>
      </c>
      <c r="M64" s="5"/>
    </row>
    <row r="65" spans="1:13" x14ac:dyDescent="0.25">
      <c r="A65" s="20">
        <v>1308</v>
      </c>
      <c r="B65" t="s">
        <v>49</v>
      </c>
      <c r="C65" t="s">
        <v>143</v>
      </c>
      <c r="D65" s="8">
        <v>2.38</v>
      </c>
      <c r="E65" s="8">
        <v>17.73</v>
      </c>
      <c r="F65" s="11">
        <v>22.712129594201695</v>
      </c>
      <c r="G65" s="11">
        <v>67.712824162192604</v>
      </c>
      <c r="H65" s="11">
        <v>9.5750462436057102</v>
      </c>
      <c r="I65" s="11">
        <v>30.284626651426787</v>
      </c>
      <c r="J65" s="11">
        <v>47.682512489022614</v>
      </c>
      <c r="K65" s="11">
        <v>100.79225265960051</v>
      </c>
      <c r="L65" s="11">
        <v>107.98353082948384</v>
      </c>
      <c r="M65" s="5"/>
    </row>
    <row r="66" spans="1:13" x14ac:dyDescent="0.25">
      <c r="A66" s="20">
        <v>1309</v>
      </c>
      <c r="B66" t="s">
        <v>49</v>
      </c>
      <c r="C66" t="s">
        <v>144</v>
      </c>
      <c r="D66" s="8">
        <v>2.5299999999999998</v>
      </c>
      <c r="E66" s="8">
        <v>22.94</v>
      </c>
      <c r="F66" s="11">
        <v>25.338959263869565</v>
      </c>
      <c r="G66" s="11">
        <v>67.717714969124501</v>
      </c>
      <c r="H66" s="11">
        <v>6.9433257670059314</v>
      </c>
      <c r="I66" s="11">
        <v>32.349405677186304</v>
      </c>
      <c r="J66" s="11">
        <v>47.671846348617073</v>
      </c>
      <c r="K66" s="11">
        <v>102.20734754310743</v>
      </c>
      <c r="L66" s="11">
        <v>108.03853473816392</v>
      </c>
      <c r="M66" s="5"/>
    </row>
    <row r="67" spans="1:13" x14ac:dyDescent="0.25">
      <c r="A67" s="20">
        <v>1310</v>
      </c>
      <c r="B67" t="s">
        <v>49</v>
      </c>
      <c r="C67" t="s">
        <v>145</v>
      </c>
      <c r="D67" s="8">
        <v>2.52</v>
      </c>
      <c r="E67" s="8">
        <v>22.54</v>
      </c>
      <c r="F67" s="11">
        <v>25.523940607686939</v>
      </c>
      <c r="G67" s="11">
        <v>68.190752503973187</v>
      </c>
      <c r="H67" s="11">
        <v>6.2853068883398766</v>
      </c>
      <c r="I67" s="11">
        <v>32.679635011560606</v>
      </c>
      <c r="J67" s="11">
        <v>46.647450465036918</v>
      </c>
      <c r="K67" s="11">
        <v>102.84107456690936</v>
      </c>
      <c r="L67" s="11">
        <v>103.50238939417295</v>
      </c>
      <c r="M67" s="5"/>
    </row>
    <row r="68" spans="1:13" x14ac:dyDescent="0.25">
      <c r="A68" s="20">
        <v>1311</v>
      </c>
      <c r="B68" t="s">
        <v>49</v>
      </c>
      <c r="C68" t="s">
        <v>146</v>
      </c>
      <c r="D68" s="8">
        <v>2.33</v>
      </c>
      <c r="E68" s="8">
        <v>16.350000000000001</v>
      </c>
      <c r="F68" s="11">
        <v>25.269979258295688</v>
      </c>
      <c r="G68" s="11">
        <v>68.739911718864647</v>
      </c>
      <c r="H68" s="11">
        <v>5.9901090228396701</v>
      </c>
      <c r="I68" s="11">
        <v>31.730841684876797</v>
      </c>
      <c r="J68" s="11">
        <v>45.475892388375726</v>
      </c>
      <c r="K68" s="11">
        <v>102.2612601772751</v>
      </c>
      <c r="L68" s="11">
        <v>100.04750593824228</v>
      </c>
      <c r="M68" s="5"/>
    </row>
    <row r="69" spans="1:13" x14ac:dyDescent="0.25">
      <c r="A69" s="20">
        <v>1312</v>
      </c>
      <c r="B69" t="s">
        <v>49</v>
      </c>
      <c r="C69" t="s">
        <v>147</v>
      </c>
      <c r="D69" s="8">
        <v>2.4300000000000002</v>
      </c>
      <c r="E69" s="8">
        <v>20.89</v>
      </c>
      <c r="F69" s="11">
        <v>26.42333369581673</v>
      </c>
      <c r="G69" s="11">
        <v>68.078646103196888</v>
      </c>
      <c r="H69" s="11">
        <v>5.4980202009863808</v>
      </c>
      <c r="I69" s="11">
        <v>32.808585312599284</v>
      </c>
      <c r="J69" s="11">
        <v>46.888937609621649</v>
      </c>
      <c r="K69" s="11">
        <v>102.38422999080832</v>
      </c>
      <c r="L69" s="11">
        <v>105.2503801723448</v>
      </c>
      <c r="M69" s="5"/>
    </row>
    <row r="70" spans="1:13" x14ac:dyDescent="0.25">
      <c r="A70" s="20">
        <v>1371</v>
      </c>
      <c r="B70" t="s">
        <v>49</v>
      </c>
      <c r="C70" t="s">
        <v>148</v>
      </c>
      <c r="D70" s="8">
        <v>2.2000000000000002</v>
      </c>
      <c r="E70" s="8">
        <v>11.26</v>
      </c>
      <c r="F70" s="11">
        <v>24.018192851607505</v>
      </c>
      <c r="G70" s="11">
        <v>68.121917117353519</v>
      </c>
      <c r="H70" s="11">
        <v>7.8598900310389643</v>
      </c>
      <c r="I70" s="11">
        <v>31.185344032277246</v>
      </c>
      <c r="J70" s="11">
        <v>46.795633815956975</v>
      </c>
      <c r="K70" s="11">
        <v>100.46316940205118</v>
      </c>
      <c r="L70" s="11">
        <v>104.17438458027972</v>
      </c>
      <c r="M70" s="5"/>
    </row>
    <row r="71" spans="1:13" x14ac:dyDescent="0.25">
      <c r="A71" s="20">
        <v>1372</v>
      </c>
      <c r="B71" t="s">
        <v>49</v>
      </c>
      <c r="C71" t="s">
        <v>149</v>
      </c>
      <c r="D71" s="8">
        <v>2.37</v>
      </c>
      <c r="E71" s="8">
        <v>13.06</v>
      </c>
      <c r="F71" s="11">
        <v>26.341132915527375</v>
      </c>
      <c r="G71" s="11">
        <v>67.459530089287881</v>
      </c>
      <c r="H71" s="11">
        <v>6.1993369951847459</v>
      </c>
      <c r="I71" s="11">
        <v>31.574999395068598</v>
      </c>
      <c r="J71" s="11">
        <v>48.237024283510891</v>
      </c>
      <c r="K71" s="11">
        <v>101.69350902879452</v>
      </c>
      <c r="L71" s="11">
        <v>102.27871647806541</v>
      </c>
      <c r="M71" s="5"/>
    </row>
    <row r="72" spans="1:13" x14ac:dyDescent="0.25">
      <c r="A72" s="20">
        <v>1373</v>
      </c>
      <c r="B72" t="s">
        <v>49</v>
      </c>
      <c r="C72" t="s">
        <v>605</v>
      </c>
      <c r="D72" s="8">
        <v>2.33</v>
      </c>
      <c r="E72" s="8">
        <v>17.96</v>
      </c>
      <c r="F72" s="11">
        <v>24.332050266047776</v>
      </c>
      <c r="G72" s="11">
        <v>67.137439148647118</v>
      </c>
      <c r="H72" s="11">
        <v>8.5305105853051053</v>
      </c>
      <c r="I72" s="11">
        <v>30.223310313596741</v>
      </c>
      <c r="J72" s="11">
        <v>48.948189368070487</v>
      </c>
      <c r="K72" s="11">
        <v>101.13856313332575</v>
      </c>
      <c r="L72" s="11">
        <v>105.47431210313643</v>
      </c>
      <c r="M72" s="5"/>
    </row>
    <row r="73" spans="1:13" x14ac:dyDescent="0.25">
      <c r="A73" s="20">
        <v>1374</v>
      </c>
      <c r="B73" t="s">
        <v>49</v>
      </c>
      <c r="C73" t="s">
        <v>150</v>
      </c>
      <c r="D73" s="8">
        <v>2.42</v>
      </c>
      <c r="E73" s="8">
        <v>13.22</v>
      </c>
      <c r="F73" s="11">
        <v>26.064317526853547</v>
      </c>
      <c r="G73" s="11">
        <v>66.961946554886026</v>
      </c>
      <c r="H73" s="11">
        <v>6.9737359182604139</v>
      </c>
      <c r="I73" s="11">
        <v>31.64789101388525</v>
      </c>
      <c r="J73" s="11">
        <v>49.338549944981047</v>
      </c>
      <c r="K73" s="11">
        <v>100.94100615273254</v>
      </c>
      <c r="L73" s="11">
        <v>101.96447230929991</v>
      </c>
      <c r="M73" s="5"/>
    </row>
    <row r="74" spans="1:13" x14ac:dyDescent="0.25">
      <c r="A74" s="20">
        <v>1375</v>
      </c>
      <c r="B74" t="s">
        <v>49</v>
      </c>
      <c r="C74" t="s">
        <v>151</v>
      </c>
      <c r="D74" s="8">
        <v>2.2999999999999998</v>
      </c>
      <c r="E74" s="8">
        <v>10.36</v>
      </c>
      <c r="F74" s="11">
        <v>24.852481777160708</v>
      </c>
      <c r="G74" s="11">
        <v>67.529424757817679</v>
      </c>
      <c r="H74" s="11">
        <v>7.618093465021615</v>
      </c>
      <c r="I74" s="11">
        <v>30.898362311066236</v>
      </c>
      <c r="J74" s="11">
        <v>48.08359520110276</v>
      </c>
      <c r="K74" s="11">
        <v>99.374026831915202</v>
      </c>
      <c r="L74" s="11">
        <v>102.11569224418184</v>
      </c>
      <c r="M74" s="5"/>
    </row>
    <row r="75" spans="1:13" x14ac:dyDescent="0.25">
      <c r="A75" s="20">
        <v>1376</v>
      </c>
      <c r="B75" t="s">
        <v>49</v>
      </c>
      <c r="C75" t="s">
        <v>152</v>
      </c>
      <c r="D75" s="8">
        <v>2.33</v>
      </c>
      <c r="E75" s="8">
        <v>12.79</v>
      </c>
      <c r="F75" s="11">
        <v>24.59885939140954</v>
      </c>
      <c r="G75" s="11">
        <v>67.410898262499501</v>
      </c>
      <c r="H75" s="11">
        <v>7.9902423460909562</v>
      </c>
      <c r="I75" s="11">
        <v>30.115789053879798</v>
      </c>
      <c r="J75" s="11">
        <v>48.343966001755128</v>
      </c>
      <c r="K75" s="11">
        <v>100.85980160478498</v>
      </c>
      <c r="L75" s="11">
        <v>101.82636197603456</v>
      </c>
      <c r="M75" s="5"/>
    </row>
    <row r="76" spans="1:13" x14ac:dyDescent="0.25">
      <c r="A76" s="20">
        <v>1377</v>
      </c>
      <c r="B76" t="s">
        <v>49</v>
      </c>
      <c r="C76" t="s">
        <v>153</v>
      </c>
      <c r="D76" s="8">
        <v>2.37</v>
      </c>
      <c r="E76" s="8">
        <v>14.29</v>
      </c>
      <c r="F76" s="11">
        <v>24.953241275020893</v>
      </c>
      <c r="G76" s="11">
        <v>67.144534203509892</v>
      </c>
      <c r="H76" s="11">
        <v>7.9022245214692184</v>
      </c>
      <c r="I76" s="11">
        <v>31.887460702773691</v>
      </c>
      <c r="J76" s="11">
        <v>48.932450252626275</v>
      </c>
      <c r="K76" s="11">
        <v>102.27803268131692</v>
      </c>
      <c r="L76" s="11">
        <v>109.91551509594603</v>
      </c>
      <c r="M76" s="5"/>
    </row>
    <row r="77" spans="1:13" x14ac:dyDescent="0.25">
      <c r="A77" s="21">
        <v>1401</v>
      </c>
      <c r="B77" t="s">
        <v>50</v>
      </c>
      <c r="C77" t="s">
        <v>154</v>
      </c>
      <c r="D77" s="8">
        <v>2.1800000000000002</v>
      </c>
      <c r="E77" s="8">
        <v>15.22</v>
      </c>
      <c r="F77" s="11">
        <v>24.861321655156924</v>
      </c>
      <c r="G77" s="11">
        <v>68.348773230026381</v>
      </c>
      <c r="H77" s="11">
        <v>6.7899051148166869</v>
      </c>
      <c r="I77" s="11">
        <v>31.874964909325698</v>
      </c>
      <c r="J77" s="11">
        <v>46.308405073273313</v>
      </c>
      <c r="K77" s="11">
        <v>102.78717081668202</v>
      </c>
      <c r="L77" s="11">
        <v>103.31441259154475</v>
      </c>
      <c r="M77" s="5"/>
    </row>
    <row r="78" spans="1:13" x14ac:dyDescent="0.25">
      <c r="A78" s="21">
        <v>1402</v>
      </c>
      <c r="B78" t="s">
        <v>50</v>
      </c>
      <c r="C78" t="s">
        <v>155</v>
      </c>
      <c r="D78" s="8">
        <v>2.17</v>
      </c>
      <c r="E78" s="8">
        <v>16.14</v>
      </c>
      <c r="F78" s="11">
        <v>25.788198261217151</v>
      </c>
      <c r="G78" s="11">
        <v>69.08622297724925</v>
      </c>
      <c r="H78" s="11">
        <v>5.1255787615335935</v>
      </c>
      <c r="I78" s="11">
        <v>32.140626561407018</v>
      </c>
      <c r="J78" s="11">
        <v>44.7466595951134</v>
      </c>
      <c r="K78" s="11">
        <v>104.52884820097934</v>
      </c>
      <c r="L78" s="11">
        <v>103.72256898167088</v>
      </c>
      <c r="M78" s="5"/>
    </row>
    <row r="79" spans="1:13" x14ac:dyDescent="0.25">
      <c r="A79" s="21">
        <v>1403</v>
      </c>
      <c r="B79" t="s">
        <v>50</v>
      </c>
      <c r="C79" t="s">
        <v>156</v>
      </c>
      <c r="D79" s="8">
        <v>2.23</v>
      </c>
      <c r="E79" s="8">
        <v>16.71</v>
      </c>
      <c r="F79" s="11">
        <v>24.396131120911051</v>
      </c>
      <c r="G79" s="11">
        <v>69.506409046450571</v>
      </c>
      <c r="H79" s="11">
        <v>6.0974598326383767</v>
      </c>
      <c r="I79" s="11">
        <v>31.775686234134682</v>
      </c>
      <c r="J79" s="11">
        <v>43.871624749267092</v>
      </c>
      <c r="K79" s="11">
        <v>106.23247172621242</v>
      </c>
      <c r="L79" s="11">
        <v>106.96576261083376</v>
      </c>
      <c r="M79" s="5"/>
    </row>
    <row r="80" spans="1:13" x14ac:dyDescent="0.25">
      <c r="A80" s="21">
        <v>1404</v>
      </c>
      <c r="B80" t="s">
        <v>50</v>
      </c>
      <c r="C80" t="s">
        <v>157</v>
      </c>
      <c r="D80" s="8">
        <v>2.19</v>
      </c>
      <c r="E80" s="8">
        <v>13.02</v>
      </c>
      <c r="F80" s="11">
        <v>27.649414880425983</v>
      </c>
      <c r="G80" s="11">
        <v>68.649428917680851</v>
      </c>
      <c r="H80" s="11">
        <v>3.7011562018931574</v>
      </c>
      <c r="I80" s="11">
        <v>31.872055100904468</v>
      </c>
      <c r="J80" s="11">
        <v>45.667635662217009</v>
      </c>
      <c r="K80" s="11">
        <v>105.6444279796585</v>
      </c>
      <c r="L80" s="11">
        <v>102.26567487713984</v>
      </c>
      <c r="M80" s="5"/>
    </row>
    <row r="81" spans="1:13" x14ac:dyDescent="0.25">
      <c r="A81" s="21">
        <v>1405</v>
      </c>
      <c r="B81" t="s">
        <v>50</v>
      </c>
      <c r="C81" t="s">
        <v>158</v>
      </c>
      <c r="D81" s="8">
        <v>2.25</v>
      </c>
      <c r="E81" s="8">
        <v>15.5</v>
      </c>
      <c r="F81" s="11">
        <v>26.213596140803517</v>
      </c>
      <c r="G81" s="11">
        <v>69.736823568951749</v>
      </c>
      <c r="H81" s="11">
        <v>4.0495802902447418</v>
      </c>
      <c r="I81" s="11">
        <v>32.673966725096655</v>
      </c>
      <c r="J81" s="11">
        <v>43.396264530353577</v>
      </c>
      <c r="K81" s="11">
        <v>105.60553146413321</v>
      </c>
      <c r="L81" s="11">
        <v>105.5478186007647</v>
      </c>
      <c r="M81" s="5"/>
    </row>
    <row r="82" spans="1:13" x14ac:dyDescent="0.25">
      <c r="A82" s="21">
        <v>1406</v>
      </c>
      <c r="B82" t="s">
        <v>50</v>
      </c>
      <c r="C82" t="s">
        <v>159</v>
      </c>
      <c r="D82" s="8">
        <v>2.2599999999999998</v>
      </c>
      <c r="E82" s="8">
        <v>14.93</v>
      </c>
      <c r="F82" s="11">
        <v>26.594247634464718</v>
      </c>
      <c r="G82" s="11">
        <v>68.525388071474367</v>
      </c>
      <c r="H82" s="11">
        <v>4.8803642940609082</v>
      </c>
      <c r="I82" s="11">
        <v>32.308421750447287</v>
      </c>
      <c r="J82" s="11">
        <v>45.931315114474806</v>
      </c>
      <c r="K82" s="11">
        <v>104.33761811224376</v>
      </c>
      <c r="L82" s="11">
        <v>103.46003265986594</v>
      </c>
      <c r="M82" s="5"/>
    </row>
    <row r="83" spans="1:13" x14ac:dyDescent="0.25">
      <c r="A83" s="21">
        <v>1407</v>
      </c>
      <c r="B83" t="s">
        <v>50</v>
      </c>
      <c r="C83" t="s">
        <v>160</v>
      </c>
      <c r="D83" s="8">
        <v>2.2200000000000002</v>
      </c>
      <c r="E83" s="8">
        <v>11.25</v>
      </c>
      <c r="F83" s="11">
        <v>25.215846689804032</v>
      </c>
      <c r="G83" s="11">
        <v>69.923666375809418</v>
      </c>
      <c r="H83" s="11">
        <v>4.8604869343865422</v>
      </c>
      <c r="I83" s="11">
        <v>33.508394402419583</v>
      </c>
      <c r="J83" s="11">
        <v>43.013095827303026</v>
      </c>
      <c r="K83" s="11">
        <v>103.52442024655586</v>
      </c>
      <c r="L83" s="11">
        <v>102.44562255363425</v>
      </c>
      <c r="M83" s="5"/>
    </row>
    <row r="84" spans="1:13" x14ac:dyDescent="0.25">
      <c r="A84" s="21">
        <v>1408</v>
      </c>
      <c r="B84" t="s">
        <v>50</v>
      </c>
      <c r="C84" t="s">
        <v>161</v>
      </c>
      <c r="D84" s="8">
        <v>2.5299999999999998</v>
      </c>
      <c r="E84" s="8">
        <v>13.93</v>
      </c>
      <c r="F84" s="11">
        <v>26.942704344359512</v>
      </c>
      <c r="G84" s="11">
        <v>66.880937453993255</v>
      </c>
      <c r="H84" s="11">
        <v>6.1763582016472274</v>
      </c>
      <c r="I84" s="11">
        <v>29.51759297703509</v>
      </c>
      <c r="J84" s="11">
        <v>49.519435293186518</v>
      </c>
      <c r="K84" s="11">
        <v>104.54579289996889</v>
      </c>
      <c r="L84" s="11">
        <v>106.06379047531065</v>
      </c>
      <c r="M84" s="5"/>
    </row>
    <row r="85" spans="1:13" x14ac:dyDescent="0.25">
      <c r="A85" s="21">
        <v>1409</v>
      </c>
      <c r="B85" t="s">
        <v>50</v>
      </c>
      <c r="C85" t="s">
        <v>162</v>
      </c>
      <c r="D85" s="8">
        <v>2.2599999999999998</v>
      </c>
      <c r="E85" s="8">
        <v>15.63</v>
      </c>
      <c r="F85" s="11">
        <v>26.072885378693488</v>
      </c>
      <c r="G85" s="11">
        <v>68.792586575237124</v>
      </c>
      <c r="H85" s="11">
        <v>5.134528046069387</v>
      </c>
      <c r="I85" s="11">
        <v>32.859129318643703</v>
      </c>
      <c r="J85" s="11">
        <v>45.364500709145346</v>
      </c>
      <c r="K85" s="11">
        <v>104.33584485472853</v>
      </c>
      <c r="L85" s="11">
        <v>104.70225928160428</v>
      </c>
      <c r="M85" s="5"/>
    </row>
    <row r="86" spans="1:13" x14ac:dyDescent="0.25">
      <c r="A86" s="21">
        <v>1410</v>
      </c>
      <c r="B86" t="s">
        <v>50</v>
      </c>
      <c r="C86" t="s">
        <v>163</v>
      </c>
      <c r="D86" s="8">
        <v>2.16</v>
      </c>
      <c r="E86" s="8">
        <v>18.68</v>
      </c>
      <c r="F86" s="11">
        <v>24.403998031342137</v>
      </c>
      <c r="G86" s="11">
        <v>68.215374849935841</v>
      </c>
      <c r="H86" s="11">
        <v>7.3806271187220291</v>
      </c>
      <c r="I86" s="11">
        <v>32.668221354418208</v>
      </c>
      <c r="J86" s="11">
        <v>46.594518054010315</v>
      </c>
      <c r="K86" s="11">
        <v>106.89074350751311</v>
      </c>
      <c r="L86" s="11">
        <v>110.71947782228155</v>
      </c>
      <c r="M86" s="5"/>
    </row>
    <row r="87" spans="1:13" x14ac:dyDescent="0.25">
      <c r="A87" s="21">
        <v>1471</v>
      </c>
      <c r="B87" t="s">
        <v>50</v>
      </c>
      <c r="C87" t="s">
        <v>164</v>
      </c>
      <c r="D87" s="8">
        <v>2.04</v>
      </c>
      <c r="E87" s="8">
        <v>10</v>
      </c>
      <c r="F87" s="11">
        <v>25.52402093215786</v>
      </c>
      <c r="G87" s="11">
        <v>68.687992688658056</v>
      </c>
      <c r="H87" s="11">
        <v>5.7879863791840895</v>
      </c>
      <c r="I87" s="11">
        <v>30.949499352800931</v>
      </c>
      <c r="J87" s="11">
        <v>45.585852906300275</v>
      </c>
      <c r="K87" s="11">
        <v>100.48835742857199</v>
      </c>
      <c r="L87" s="11">
        <v>99.804975591090596</v>
      </c>
      <c r="M87" s="5"/>
    </row>
    <row r="88" spans="1:13" x14ac:dyDescent="0.25">
      <c r="A88" s="21">
        <v>1473</v>
      </c>
      <c r="B88" t="s">
        <v>50</v>
      </c>
      <c r="C88" t="s">
        <v>165</v>
      </c>
      <c r="D88" s="8">
        <v>2.13</v>
      </c>
      <c r="E88" s="8">
        <v>11.02</v>
      </c>
      <c r="F88" s="11">
        <v>26.784865955437738</v>
      </c>
      <c r="G88" s="11">
        <v>67.872412802120792</v>
      </c>
      <c r="H88" s="11">
        <v>5.3427212424414821</v>
      </c>
      <c r="I88" s="11">
        <v>31.847826724456464</v>
      </c>
      <c r="J88" s="11">
        <v>47.335266084536983</v>
      </c>
      <c r="K88" s="11">
        <v>104.78135021198401</v>
      </c>
      <c r="L88" s="11">
        <v>105.74984843892088</v>
      </c>
      <c r="M88" s="5"/>
    </row>
    <row r="89" spans="1:13" x14ac:dyDescent="0.25">
      <c r="A89" s="22">
        <v>1501</v>
      </c>
      <c r="B89" t="s">
        <v>51</v>
      </c>
      <c r="C89" t="s">
        <v>166</v>
      </c>
      <c r="D89" s="8">
        <v>2.17</v>
      </c>
      <c r="E89" s="8">
        <v>17.260000000000002</v>
      </c>
      <c r="F89" s="11">
        <v>23.003389308272993</v>
      </c>
      <c r="G89" s="11">
        <v>67.899784316746263</v>
      </c>
      <c r="H89" s="11">
        <v>9.0968263749807434</v>
      </c>
      <c r="I89" s="11">
        <v>29.007857032814666</v>
      </c>
      <c r="J89" s="11">
        <v>47.275872826795997</v>
      </c>
      <c r="K89" s="11">
        <v>100.45705815138508</v>
      </c>
      <c r="L89" s="11">
        <v>102.25032895620183</v>
      </c>
      <c r="M89" s="5"/>
    </row>
    <row r="90" spans="1:13" x14ac:dyDescent="0.25">
      <c r="A90" s="22">
        <v>1502</v>
      </c>
      <c r="B90" t="s">
        <v>51</v>
      </c>
      <c r="C90" t="s">
        <v>167</v>
      </c>
      <c r="D90" s="8">
        <v>2.11</v>
      </c>
      <c r="E90" s="8">
        <v>14.14</v>
      </c>
      <c r="F90" s="11">
        <v>24.984865248523057</v>
      </c>
      <c r="G90" s="11">
        <v>69.204173016303784</v>
      </c>
      <c r="H90" s="11">
        <v>5.8109617351731622</v>
      </c>
      <c r="I90" s="11">
        <v>31.89988100954011</v>
      </c>
      <c r="J90" s="11">
        <v>44.499956637645312</v>
      </c>
      <c r="K90" s="11">
        <v>102.40205347051305</v>
      </c>
      <c r="L90" s="11">
        <v>99.686377000980073</v>
      </c>
      <c r="M90" s="5"/>
    </row>
    <row r="91" spans="1:13" x14ac:dyDescent="0.25">
      <c r="A91" s="22">
        <v>1503</v>
      </c>
      <c r="B91" t="s">
        <v>51</v>
      </c>
      <c r="C91" t="s">
        <v>168</v>
      </c>
      <c r="D91" s="8">
        <v>2.6</v>
      </c>
      <c r="E91" s="8">
        <v>16.2</v>
      </c>
      <c r="F91" s="11">
        <v>28.086167728406437</v>
      </c>
      <c r="G91" s="11">
        <v>66.624302985050917</v>
      </c>
      <c r="H91" s="11">
        <v>5.2895292865426473</v>
      </c>
      <c r="I91" s="11">
        <v>30.838959759797923</v>
      </c>
      <c r="J91" s="11">
        <v>50.095378892651055</v>
      </c>
      <c r="K91" s="11">
        <v>103.31587005251903</v>
      </c>
      <c r="L91" s="11">
        <v>101.13351430880495</v>
      </c>
      <c r="M91" s="5"/>
    </row>
    <row r="92" spans="1:13" x14ac:dyDescent="0.25">
      <c r="A92" s="22">
        <v>1504</v>
      </c>
      <c r="B92" t="s">
        <v>51</v>
      </c>
      <c r="C92" t="s">
        <v>169</v>
      </c>
      <c r="D92" s="8">
        <v>2.2200000000000002</v>
      </c>
      <c r="E92" s="8">
        <v>12.59</v>
      </c>
      <c r="F92" s="11">
        <v>25.14401970893509</v>
      </c>
      <c r="G92" s="11">
        <v>68.929407188327758</v>
      </c>
      <c r="H92" s="11">
        <v>5.9265731027371462</v>
      </c>
      <c r="I92" s="11">
        <v>31.672913180659062</v>
      </c>
      <c r="J92" s="11">
        <v>45.075961159482603</v>
      </c>
      <c r="K92" s="11">
        <v>103.297558526329</v>
      </c>
      <c r="L92" s="11">
        <v>102.72091368953524</v>
      </c>
      <c r="M92" s="5"/>
    </row>
    <row r="93" spans="1:13" x14ac:dyDescent="0.25">
      <c r="A93" s="22">
        <v>1505</v>
      </c>
      <c r="B93" t="s">
        <v>51</v>
      </c>
      <c r="C93" t="s">
        <v>170</v>
      </c>
      <c r="D93" s="8">
        <v>2.16</v>
      </c>
      <c r="E93" s="8">
        <v>11.91</v>
      </c>
      <c r="F93" s="11">
        <v>24.624192567606329</v>
      </c>
      <c r="G93" s="11">
        <v>69.884234559827433</v>
      </c>
      <c r="H93" s="11">
        <v>5.4915728725662296</v>
      </c>
      <c r="I93" s="11">
        <v>31.683933959774663</v>
      </c>
      <c r="J93" s="11">
        <v>43.093790223016107</v>
      </c>
      <c r="K93" s="11">
        <v>104.86693838408057</v>
      </c>
      <c r="L93" s="11">
        <v>102.87540405524538</v>
      </c>
      <c r="M93" s="5"/>
    </row>
    <row r="94" spans="1:13" x14ac:dyDescent="0.25">
      <c r="A94" s="22">
        <v>1506</v>
      </c>
      <c r="B94" t="s">
        <v>51</v>
      </c>
      <c r="C94" t="s">
        <v>171</v>
      </c>
      <c r="D94" s="8">
        <v>2.3199999999999998</v>
      </c>
      <c r="E94" s="8">
        <v>14.98</v>
      </c>
      <c r="F94" s="11">
        <v>24.704117078785636</v>
      </c>
      <c r="G94" s="11">
        <v>67.896240570594642</v>
      </c>
      <c r="H94" s="11">
        <v>7.39964235061972</v>
      </c>
      <c r="I94" s="11">
        <v>30.001438819345953</v>
      </c>
      <c r="J94" s="11">
        <v>47.283559678132249</v>
      </c>
      <c r="K94" s="11">
        <v>103.34116309590485</v>
      </c>
      <c r="L94" s="11">
        <v>105.21905404645409</v>
      </c>
      <c r="M94" s="5"/>
    </row>
    <row r="95" spans="1:13" x14ac:dyDescent="0.25">
      <c r="A95" s="22">
        <v>1507</v>
      </c>
      <c r="B95" t="s">
        <v>51</v>
      </c>
      <c r="C95" t="s">
        <v>172</v>
      </c>
      <c r="D95" s="8">
        <v>2.33</v>
      </c>
      <c r="E95" s="8">
        <v>17</v>
      </c>
      <c r="F95" s="11">
        <v>25.573691414025472</v>
      </c>
      <c r="G95" s="11">
        <v>68.425396142747957</v>
      </c>
      <c r="H95" s="11">
        <v>6.0009124432265626</v>
      </c>
      <c r="I95" s="11">
        <v>32.639605266599062</v>
      </c>
      <c r="J95" s="11">
        <v>46.144568591728138</v>
      </c>
      <c r="K95" s="11">
        <v>105.3226335729841</v>
      </c>
      <c r="L95" s="11">
        <v>106.34334527418021</v>
      </c>
      <c r="M95" s="5"/>
    </row>
    <row r="96" spans="1:13" x14ac:dyDescent="0.25">
      <c r="A96" s="22">
        <v>1508</v>
      </c>
      <c r="B96" t="s">
        <v>51</v>
      </c>
      <c r="C96" t="s">
        <v>173</v>
      </c>
      <c r="D96" s="8">
        <v>2.39</v>
      </c>
      <c r="E96" s="8">
        <v>15.6</v>
      </c>
      <c r="F96" s="11">
        <v>26.30381374795957</v>
      </c>
      <c r="G96" s="11">
        <v>67.835963220058588</v>
      </c>
      <c r="H96" s="11">
        <v>5.8602230319818407</v>
      </c>
      <c r="I96" s="11">
        <v>30.79303313602313</v>
      </c>
      <c r="J96" s="11">
        <v>47.41443218783801</v>
      </c>
      <c r="K96" s="11">
        <v>104.64407427819455</v>
      </c>
      <c r="L96" s="11">
        <v>102.79431725635688</v>
      </c>
      <c r="M96" s="5"/>
    </row>
    <row r="97" spans="1:13" x14ac:dyDescent="0.25">
      <c r="A97" s="22">
        <v>1509</v>
      </c>
      <c r="B97" t="s">
        <v>51</v>
      </c>
      <c r="C97" t="s">
        <v>174</v>
      </c>
      <c r="D97" s="8">
        <v>2.19</v>
      </c>
      <c r="E97" s="8">
        <v>15.26</v>
      </c>
      <c r="F97" s="11">
        <v>25.133810240193217</v>
      </c>
      <c r="G97" s="11">
        <v>68.980841853182284</v>
      </c>
      <c r="H97" s="11">
        <v>5.885347906624502</v>
      </c>
      <c r="I97" s="11">
        <v>32.213983809728489</v>
      </c>
      <c r="J97" s="11">
        <v>44.967787161598288</v>
      </c>
      <c r="K97" s="11">
        <v>103.24377167757804</v>
      </c>
      <c r="L97" s="11">
        <v>103.93424036281178</v>
      </c>
      <c r="M97" s="5"/>
    </row>
    <row r="98" spans="1:13" x14ac:dyDescent="0.25">
      <c r="A98" s="22">
        <v>1571</v>
      </c>
      <c r="B98" t="s">
        <v>51</v>
      </c>
      <c r="C98" t="s">
        <v>175</v>
      </c>
      <c r="D98" s="8">
        <v>2.0699999999999998</v>
      </c>
      <c r="E98" s="8">
        <v>11.64</v>
      </c>
      <c r="F98" s="11">
        <v>23.09167359763423</v>
      </c>
      <c r="G98" s="11">
        <v>70.029110063764904</v>
      </c>
      <c r="H98" s="11">
        <v>6.8792163386008687</v>
      </c>
      <c r="I98" s="11">
        <v>31.396820996211073</v>
      </c>
      <c r="J98" s="11">
        <v>42.79775925889269</v>
      </c>
      <c r="K98" s="11">
        <v>100.96884527881387</v>
      </c>
      <c r="L98" s="11">
        <v>102.35162151698944</v>
      </c>
      <c r="M98" s="5"/>
    </row>
    <row r="99" spans="1:13" x14ac:dyDescent="0.25">
      <c r="A99" s="22">
        <v>1572</v>
      </c>
      <c r="B99" t="s">
        <v>51</v>
      </c>
      <c r="C99" t="s">
        <v>176</v>
      </c>
      <c r="D99" s="8">
        <v>2.16</v>
      </c>
      <c r="E99" s="8">
        <v>15.17</v>
      </c>
      <c r="F99" s="11">
        <v>23.068929011955984</v>
      </c>
      <c r="G99" s="11">
        <v>68.385116694670799</v>
      </c>
      <c r="H99" s="11">
        <v>8.5459542933732191</v>
      </c>
      <c r="I99" s="11">
        <v>29.929779236798399</v>
      </c>
      <c r="J99" s="11">
        <v>46.230649055531885</v>
      </c>
      <c r="K99" s="11">
        <v>101.45375569860495</v>
      </c>
      <c r="L99" s="11">
        <v>105.18010520007989</v>
      </c>
      <c r="M99" s="5"/>
    </row>
    <row r="100" spans="1:13" x14ac:dyDescent="0.25">
      <c r="A100" s="23">
        <v>1601</v>
      </c>
      <c r="B100" t="s">
        <v>52</v>
      </c>
      <c r="C100" t="s">
        <v>177</v>
      </c>
      <c r="D100" s="8">
        <v>2.25</v>
      </c>
      <c r="E100" s="8">
        <v>16</v>
      </c>
      <c r="F100" s="11">
        <v>25.87215407073527</v>
      </c>
      <c r="G100" s="11">
        <v>67.341665172740534</v>
      </c>
      <c r="H100" s="11">
        <v>6.786180756524189</v>
      </c>
      <c r="I100" s="11">
        <v>30.195405536917047</v>
      </c>
      <c r="J100" s="11">
        <v>48.496476503048122</v>
      </c>
      <c r="K100" s="11">
        <v>104.48166069670499</v>
      </c>
      <c r="L100" s="11">
        <v>105.72305974316025</v>
      </c>
      <c r="M100" s="5"/>
    </row>
    <row r="101" spans="1:13" x14ac:dyDescent="0.25">
      <c r="A101" s="23">
        <v>1602</v>
      </c>
      <c r="B101" t="s">
        <v>52</v>
      </c>
      <c r="C101" t="s">
        <v>178</v>
      </c>
      <c r="D101" s="8">
        <v>2.2200000000000002</v>
      </c>
      <c r="E101" s="8">
        <v>14.42</v>
      </c>
      <c r="F101" s="11">
        <v>24.256381314097748</v>
      </c>
      <c r="G101" s="11">
        <v>69.427946498209991</v>
      </c>
      <c r="H101" s="11">
        <v>6.3156721876922628</v>
      </c>
      <c r="I101" s="11">
        <v>31.032273535410297</v>
      </c>
      <c r="J101" s="11">
        <v>44.034218270560878</v>
      </c>
      <c r="K101" s="11">
        <v>105.03542277636097</v>
      </c>
      <c r="L101" s="11">
        <v>105.5142045910265</v>
      </c>
      <c r="M101" s="5"/>
    </row>
    <row r="102" spans="1:13" x14ac:dyDescent="0.25">
      <c r="A102" s="23">
        <v>1603</v>
      </c>
      <c r="B102" t="s">
        <v>52</v>
      </c>
      <c r="C102" t="s">
        <v>179</v>
      </c>
      <c r="D102" s="8">
        <v>2.1800000000000002</v>
      </c>
      <c r="E102" s="8">
        <v>14.1</v>
      </c>
      <c r="F102" s="11">
        <v>25.927877565982406</v>
      </c>
      <c r="G102" s="11">
        <v>67.299914467253174</v>
      </c>
      <c r="H102" s="11">
        <v>6.7722079667644177</v>
      </c>
      <c r="I102" s="11">
        <v>30.505101417399803</v>
      </c>
      <c r="J102" s="11">
        <v>48.588598947860547</v>
      </c>
      <c r="K102" s="11">
        <v>103.810235338065</v>
      </c>
      <c r="L102" s="11">
        <v>106.28066225302362</v>
      </c>
      <c r="M102" s="5"/>
    </row>
    <row r="103" spans="1:13" x14ac:dyDescent="0.25">
      <c r="A103" s="23">
        <v>1604</v>
      </c>
      <c r="B103" t="s">
        <v>52</v>
      </c>
      <c r="C103" t="s">
        <v>180</v>
      </c>
      <c r="D103" s="8">
        <v>2.2200000000000002</v>
      </c>
      <c r="E103" s="8">
        <v>17.04</v>
      </c>
      <c r="F103" s="11">
        <v>24.699336391689489</v>
      </c>
      <c r="G103" s="11">
        <v>67.785049933378758</v>
      </c>
      <c r="H103" s="11">
        <v>7.5156136749317506</v>
      </c>
      <c r="I103" s="11">
        <v>30.440698416280753</v>
      </c>
      <c r="J103" s="11">
        <v>47.52515502796426</v>
      </c>
      <c r="K103" s="11">
        <v>104.25428176305805</v>
      </c>
      <c r="L103" s="11">
        <v>107.46749885377072</v>
      </c>
      <c r="M103" s="5"/>
    </row>
    <row r="104" spans="1:13" x14ac:dyDescent="0.25">
      <c r="A104" s="23">
        <v>1605</v>
      </c>
      <c r="B104" t="s">
        <v>52</v>
      </c>
      <c r="C104" t="s">
        <v>181</v>
      </c>
      <c r="D104" s="8">
        <v>2.2000000000000002</v>
      </c>
      <c r="E104" s="8">
        <v>15.71</v>
      </c>
      <c r="F104" s="11">
        <v>24.806469449820291</v>
      </c>
      <c r="G104" s="11">
        <v>68.132048849780247</v>
      </c>
      <c r="H104" s="11">
        <v>7.0614817003994554</v>
      </c>
      <c r="I104" s="11">
        <v>29.996520263506621</v>
      </c>
      <c r="J104" s="11">
        <v>46.773804234895735</v>
      </c>
      <c r="K104" s="11">
        <v>104.23688386537768</v>
      </c>
      <c r="L104" s="11">
        <v>104.7320818557439</v>
      </c>
      <c r="M104" s="5"/>
    </row>
    <row r="105" spans="1:13" x14ac:dyDescent="0.25">
      <c r="A105" s="23">
        <v>1606</v>
      </c>
      <c r="B105" t="s">
        <v>52</v>
      </c>
      <c r="C105" t="s">
        <v>182</v>
      </c>
      <c r="D105" s="8">
        <v>2.2599999999999998</v>
      </c>
      <c r="E105" s="8">
        <v>14.42</v>
      </c>
      <c r="F105" s="11">
        <v>26.978894393945307</v>
      </c>
      <c r="G105" s="11">
        <v>67.078795663042541</v>
      </c>
      <c r="H105" s="11">
        <v>5.9423099430121624</v>
      </c>
      <c r="I105" s="11">
        <v>30.626986246695214</v>
      </c>
      <c r="J105" s="11">
        <v>49.078406986211895</v>
      </c>
      <c r="K105" s="11">
        <v>105.02993348797432</v>
      </c>
      <c r="L105" s="11">
        <v>103.50751253751285</v>
      </c>
      <c r="M105" s="5"/>
    </row>
    <row r="106" spans="1:13" x14ac:dyDescent="0.25">
      <c r="A106" s="23">
        <v>1607</v>
      </c>
      <c r="B106" t="s">
        <v>52</v>
      </c>
      <c r="C106" t="s">
        <v>183</v>
      </c>
      <c r="D106" s="8">
        <v>2.17</v>
      </c>
      <c r="E106" s="8">
        <v>14.11</v>
      </c>
      <c r="F106" s="11">
        <v>24.650525092650462</v>
      </c>
      <c r="G106" s="11">
        <v>68.684143346332277</v>
      </c>
      <c r="H106" s="11">
        <v>6.665331561017263</v>
      </c>
      <c r="I106" s="11">
        <v>31.785821178003324</v>
      </c>
      <c r="J106" s="11">
        <v>45.594012137213312</v>
      </c>
      <c r="K106" s="11">
        <v>104.54559777446669</v>
      </c>
      <c r="L106" s="11">
        <v>106.26579838053212</v>
      </c>
      <c r="M106" s="5"/>
    </row>
    <row r="107" spans="1:13" x14ac:dyDescent="0.25">
      <c r="A107" s="23">
        <v>1608</v>
      </c>
      <c r="B107" t="s">
        <v>52</v>
      </c>
      <c r="C107" t="s">
        <v>184</v>
      </c>
      <c r="D107" s="8">
        <v>2.21</v>
      </c>
      <c r="E107" s="8">
        <v>16.98</v>
      </c>
      <c r="F107" s="11">
        <v>23.449134897760647</v>
      </c>
      <c r="G107" s="11">
        <v>69.755061961868222</v>
      </c>
      <c r="H107" s="11">
        <v>6.7958031403711345</v>
      </c>
      <c r="I107" s="11">
        <v>32.742278632929342</v>
      </c>
      <c r="J107" s="11">
        <v>43.358771661138015</v>
      </c>
      <c r="K107" s="11">
        <v>106.46984010775245</v>
      </c>
      <c r="L107" s="11">
        <v>107.39903534662731</v>
      </c>
      <c r="M107" s="5"/>
    </row>
    <row r="108" spans="1:13" x14ac:dyDescent="0.25">
      <c r="A108" s="23">
        <v>1609</v>
      </c>
      <c r="B108" t="s">
        <v>52</v>
      </c>
      <c r="C108" t="s">
        <v>185</v>
      </c>
      <c r="D108" s="8">
        <v>2.15</v>
      </c>
      <c r="E108" s="8">
        <v>13.92</v>
      </c>
      <c r="F108" s="11">
        <v>24.006964373206412</v>
      </c>
      <c r="G108" s="11">
        <v>68.197487226149647</v>
      </c>
      <c r="H108" s="11">
        <v>7.7955484006439422</v>
      </c>
      <c r="I108" s="11">
        <v>29.454369940038728</v>
      </c>
      <c r="J108" s="11">
        <v>46.632968555556978</v>
      </c>
      <c r="K108" s="11">
        <v>104.27935240761978</v>
      </c>
      <c r="L108" s="11">
        <v>105.36514940471955</v>
      </c>
      <c r="M108" s="5"/>
    </row>
    <row r="109" spans="1:13" x14ac:dyDescent="0.25">
      <c r="A109" s="23">
        <v>1610</v>
      </c>
      <c r="B109" t="s">
        <v>52</v>
      </c>
      <c r="C109" t="s">
        <v>186</v>
      </c>
      <c r="D109" s="8">
        <v>2.16</v>
      </c>
      <c r="E109" s="8">
        <v>17.57</v>
      </c>
      <c r="F109" s="11">
        <v>25.613875433999567</v>
      </c>
      <c r="G109" s="11">
        <v>67.367491443288102</v>
      </c>
      <c r="H109" s="11">
        <v>7.0186331227123269</v>
      </c>
      <c r="I109" s="11">
        <v>31.556615509446566</v>
      </c>
      <c r="J109" s="11">
        <v>48.43954830080451</v>
      </c>
      <c r="K109" s="11">
        <v>102.66331726772631</v>
      </c>
      <c r="L109" s="11">
        <v>107.37822033024496</v>
      </c>
      <c r="M109" s="5"/>
    </row>
    <row r="110" spans="1:13" x14ac:dyDescent="0.25">
      <c r="A110" s="23">
        <v>1611</v>
      </c>
      <c r="B110" t="s">
        <v>52</v>
      </c>
      <c r="C110" t="s">
        <v>187</v>
      </c>
      <c r="D110" s="8">
        <v>2.29</v>
      </c>
      <c r="E110" s="8">
        <v>23.78</v>
      </c>
      <c r="F110" s="11">
        <v>21.625727241493866</v>
      </c>
      <c r="G110" s="11">
        <v>71.087518846521874</v>
      </c>
      <c r="H110" s="11">
        <v>7.2867539119842588</v>
      </c>
      <c r="I110" s="11">
        <v>33.175273363298473</v>
      </c>
      <c r="J110" s="11">
        <v>40.671670108363521</v>
      </c>
      <c r="K110" s="11">
        <v>105.14751711081986</v>
      </c>
      <c r="L110" s="11">
        <v>105.86556250550612</v>
      </c>
      <c r="M110" s="5"/>
    </row>
    <row r="111" spans="1:13" x14ac:dyDescent="0.25">
      <c r="A111" s="23">
        <v>1612</v>
      </c>
      <c r="B111" t="s">
        <v>52</v>
      </c>
      <c r="C111" t="s">
        <v>188</v>
      </c>
      <c r="D111" s="8">
        <v>2.2400000000000002</v>
      </c>
      <c r="E111" s="8">
        <v>15.17</v>
      </c>
      <c r="F111" s="11">
        <v>27.82517459277511</v>
      </c>
      <c r="G111" s="11">
        <v>66.684232765046318</v>
      </c>
      <c r="H111" s="11">
        <v>5.4905926421785756</v>
      </c>
      <c r="I111" s="11">
        <v>32.130767733451073</v>
      </c>
      <c r="J111" s="11">
        <v>49.960486690066141</v>
      </c>
      <c r="K111" s="11">
        <v>101.92788871739317</v>
      </c>
      <c r="L111" s="11">
        <v>103.45719095719095</v>
      </c>
      <c r="M111" s="5"/>
    </row>
    <row r="112" spans="1:13" x14ac:dyDescent="0.25">
      <c r="A112" s="23">
        <v>1613</v>
      </c>
      <c r="B112" t="s">
        <v>52</v>
      </c>
      <c r="C112" t="s">
        <v>189</v>
      </c>
      <c r="D112" s="8">
        <v>2.2400000000000002</v>
      </c>
      <c r="E112" s="8">
        <v>18.100000000000001</v>
      </c>
      <c r="F112" s="11">
        <v>25.942920160103188</v>
      </c>
      <c r="G112" s="11">
        <v>67.985762040971053</v>
      </c>
      <c r="H112" s="11">
        <v>6.0713177989257527</v>
      </c>
      <c r="I112" s="11">
        <v>32.685273164991955</v>
      </c>
      <c r="J112" s="11">
        <v>47.089621411812416</v>
      </c>
      <c r="K112" s="11">
        <v>103.75267080620732</v>
      </c>
      <c r="L112" s="11">
        <v>106.16731880007453</v>
      </c>
      <c r="M112" s="5"/>
    </row>
    <row r="113" spans="1:13" x14ac:dyDescent="0.25">
      <c r="A113" s="23">
        <v>1671</v>
      </c>
      <c r="B113" t="s">
        <v>52</v>
      </c>
      <c r="C113" t="s">
        <v>190</v>
      </c>
      <c r="D113" s="8">
        <v>2.0699999999999998</v>
      </c>
      <c r="E113" s="8">
        <v>11.83</v>
      </c>
      <c r="F113" s="11">
        <v>25.073439050328084</v>
      </c>
      <c r="G113" s="11">
        <v>67.04834481336168</v>
      </c>
      <c r="H113" s="11">
        <v>7.8782161363102317</v>
      </c>
      <c r="I113" s="11">
        <v>30.035637976075503</v>
      </c>
      <c r="J113" s="11">
        <v>49.146112821075292</v>
      </c>
      <c r="K113" s="11">
        <v>100.21614098051394</v>
      </c>
      <c r="L113" s="11">
        <v>104.07137197038008</v>
      </c>
      <c r="M113" s="5"/>
    </row>
    <row r="114" spans="1:13" x14ac:dyDescent="0.25">
      <c r="A114" s="23">
        <v>1672</v>
      </c>
      <c r="B114" t="s">
        <v>52</v>
      </c>
      <c r="C114" t="s">
        <v>191</v>
      </c>
      <c r="D114" s="8">
        <v>2.14</v>
      </c>
      <c r="E114" s="8">
        <v>13.46</v>
      </c>
      <c r="F114" s="11">
        <v>26.779589467574272</v>
      </c>
      <c r="G114" s="11">
        <v>67.378550424299988</v>
      </c>
      <c r="H114" s="11">
        <v>5.84186010812574</v>
      </c>
      <c r="I114" s="11">
        <v>30.577422155702987</v>
      </c>
      <c r="J114" s="11">
        <v>48.415184610346152</v>
      </c>
      <c r="K114" s="11">
        <v>100.96113060579184</v>
      </c>
      <c r="L114" s="11">
        <v>101.51112797167426</v>
      </c>
      <c r="M114" s="5"/>
    </row>
    <row r="115" spans="1:13" x14ac:dyDescent="0.25">
      <c r="A115" s="23">
        <v>1673</v>
      </c>
      <c r="B115" t="s">
        <v>52</v>
      </c>
      <c r="C115" t="s">
        <v>192</v>
      </c>
      <c r="D115" s="8">
        <v>2.2599999999999998</v>
      </c>
      <c r="E115" s="8">
        <v>17.3</v>
      </c>
      <c r="F115" s="11">
        <v>24.781978658938218</v>
      </c>
      <c r="G115" s="11">
        <v>67.549729943353981</v>
      </c>
      <c r="H115" s="11">
        <v>7.6682913977078115</v>
      </c>
      <c r="I115" s="11">
        <v>28.696482676854167</v>
      </c>
      <c r="J115" s="11">
        <v>48.03908184956218</v>
      </c>
      <c r="K115" s="11">
        <v>104.50994126838731</v>
      </c>
      <c r="L115" s="11">
        <v>107.31382345943375</v>
      </c>
      <c r="M115" s="5"/>
    </row>
    <row r="116" spans="1:13" x14ac:dyDescent="0.25">
      <c r="A116" s="23">
        <v>1674</v>
      </c>
      <c r="B116" t="s">
        <v>52</v>
      </c>
      <c r="C116" t="s">
        <v>193</v>
      </c>
      <c r="D116" s="8">
        <v>2.17</v>
      </c>
      <c r="E116" s="8">
        <v>13.41</v>
      </c>
      <c r="F116" s="11">
        <v>26.269148345106753</v>
      </c>
      <c r="G116" s="11">
        <v>67.495039288832444</v>
      </c>
      <c r="H116" s="11">
        <v>6.2358123660607987</v>
      </c>
      <c r="I116" s="11">
        <v>31.468370505595683</v>
      </c>
      <c r="J116" s="11">
        <v>48.159036654632693</v>
      </c>
      <c r="K116" s="11">
        <v>101.26519592964745</v>
      </c>
      <c r="L116" s="11">
        <v>102.72536687631026</v>
      </c>
      <c r="M116" s="5"/>
    </row>
    <row r="117" spans="1:13" x14ac:dyDescent="0.25">
      <c r="A117" s="24">
        <v>1701</v>
      </c>
      <c r="B117" t="s">
        <v>53</v>
      </c>
      <c r="C117" t="s">
        <v>194</v>
      </c>
      <c r="D117" s="8">
        <v>2.37</v>
      </c>
      <c r="E117" s="8">
        <v>17.87</v>
      </c>
      <c r="F117" s="11">
        <v>24.287337414573759</v>
      </c>
      <c r="G117" s="11">
        <v>68.260159292735736</v>
      </c>
      <c r="H117" s="11">
        <v>7.4525032926905102</v>
      </c>
      <c r="I117" s="11">
        <v>30.168393562719391</v>
      </c>
      <c r="J117" s="11">
        <v>46.498339640766169</v>
      </c>
      <c r="K117" s="11">
        <v>103.32969369576462</v>
      </c>
      <c r="L117" s="11">
        <v>105.58551617873653</v>
      </c>
      <c r="M117" s="5"/>
    </row>
    <row r="118" spans="1:13" x14ac:dyDescent="0.25">
      <c r="A118" s="24">
        <v>1702</v>
      </c>
      <c r="B118" t="s">
        <v>53</v>
      </c>
      <c r="C118" t="s">
        <v>195</v>
      </c>
      <c r="D118" s="8">
        <v>2.16</v>
      </c>
      <c r="E118" s="8">
        <v>14.99</v>
      </c>
      <c r="F118" s="11">
        <v>23.102357238053575</v>
      </c>
      <c r="G118" s="11">
        <v>69.895448641646226</v>
      </c>
      <c r="H118" s="11">
        <v>7.0021941203001914</v>
      </c>
      <c r="I118" s="11">
        <v>31.857134621319254</v>
      </c>
      <c r="J118" s="11">
        <v>43.070832140587171</v>
      </c>
      <c r="K118" s="11">
        <v>103.52484021920682</v>
      </c>
      <c r="L118" s="11">
        <v>107.075939601014</v>
      </c>
      <c r="M118" s="5"/>
    </row>
    <row r="119" spans="1:13" x14ac:dyDescent="0.25">
      <c r="A119" s="24">
        <v>1703</v>
      </c>
      <c r="B119" t="s">
        <v>53</v>
      </c>
      <c r="C119" t="s">
        <v>196</v>
      </c>
      <c r="D119" s="8">
        <v>2.33</v>
      </c>
      <c r="E119" s="8">
        <v>17.47</v>
      </c>
      <c r="F119" s="11">
        <v>25.383178042067524</v>
      </c>
      <c r="G119" s="11">
        <v>67.522031159255619</v>
      </c>
      <c r="H119" s="11">
        <v>7.0947907986768683</v>
      </c>
      <c r="I119" s="11">
        <v>30.062747771633465</v>
      </c>
      <c r="J119" s="11">
        <v>48.099810214747158</v>
      </c>
      <c r="K119" s="11">
        <v>104.00772698003864</v>
      </c>
      <c r="L119" s="11">
        <v>104.57054490001934</v>
      </c>
      <c r="M119" s="5"/>
    </row>
    <row r="120" spans="1:13" x14ac:dyDescent="0.25">
      <c r="A120" s="24">
        <v>1704</v>
      </c>
      <c r="B120" t="s">
        <v>53</v>
      </c>
      <c r="C120" t="s">
        <v>197</v>
      </c>
      <c r="D120" s="8">
        <v>2.46</v>
      </c>
      <c r="E120" s="8">
        <v>19</v>
      </c>
      <c r="F120" s="11">
        <v>24.500106791182731</v>
      </c>
      <c r="G120" s="11">
        <v>68.659365586725485</v>
      </c>
      <c r="H120" s="11">
        <v>6.8405276220917814</v>
      </c>
      <c r="I120" s="11">
        <v>30.811097445113017</v>
      </c>
      <c r="J120" s="11">
        <v>45.646554035934564</v>
      </c>
      <c r="K120" s="11">
        <v>105.21582733812949</v>
      </c>
      <c r="L120" s="11">
        <v>107.55606271085534</v>
      </c>
      <c r="M120" s="5"/>
    </row>
    <row r="121" spans="1:13" x14ac:dyDescent="0.25">
      <c r="A121" s="24">
        <v>1705</v>
      </c>
      <c r="B121" t="s">
        <v>53</v>
      </c>
      <c r="C121" t="s">
        <v>198</v>
      </c>
      <c r="D121" s="8">
        <v>2.4300000000000002</v>
      </c>
      <c r="E121" s="8">
        <v>18.78</v>
      </c>
      <c r="F121" s="11">
        <v>24.422959202045298</v>
      </c>
      <c r="G121" s="11">
        <v>68.747074286125823</v>
      </c>
      <c r="H121" s="11">
        <v>6.8299665118288857</v>
      </c>
      <c r="I121" s="11">
        <v>30.76410644197184</v>
      </c>
      <c r="J121" s="11">
        <v>45.460735658072203</v>
      </c>
      <c r="K121" s="11">
        <v>105.92084530540365</v>
      </c>
      <c r="L121" s="11">
        <v>110.29506784406632</v>
      </c>
      <c r="M121" s="5"/>
    </row>
    <row r="122" spans="1:13" x14ac:dyDescent="0.25">
      <c r="A122" s="24">
        <v>1706</v>
      </c>
      <c r="B122" t="s">
        <v>53</v>
      </c>
      <c r="C122" t="s">
        <v>199</v>
      </c>
      <c r="D122" s="8">
        <v>2.29</v>
      </c>
      <c r="E122" s="8">
        <v>15.22</v>
      </c>
      <c r="F122" s="11">
        <v>26.68386536792362</v>
      </c>
      <c r="G122" s="11">
        <v>67.705661105217473</v>
      </c>
      <c r="H122" s="11">
        <v>5.6104735268589065</v>
      </c>
      <c r="I122" s="11">
        <v>31.646253254894397</v>
      </c>
      <c r="J122" s="11">
        <v>47.698136858298675</v>
      </c>
      <c r="K122" s="11">
        <v>106.16158503245816</v>
      </c>
      <c r="L122" s="11">
        <v>105.28637117207296</v>
      </c>
      <c r="M122" s="5"/>
    </row>
    <row r="123" spans="1:13" x14ac:dyDescent="0.25">
      <c r="A123" s="24">
        <v>1707</v>
      </c>
      <c r="B123" t="s">
        <v>53</v>
      </c>
      <c r="C123" t="s">
        <v>200</v>
      </c>
      <c r="D123" s="8">
        <v>2.4</v>
      </c>
      <c r="E123" s="8">
        <v>19.62</v>
      </c>
      <c r="F123" s="11">
        <v>24.826417697971163</v>
      </c>
      <c r="G123" s="11">
        <v>67.714128507672555</v>
      </c>
      <c r="H123" s="11">
        <v>7.4594537943562829</v>
      </c>
      <c r="I123" s="11">
        <v>31.333024742574171</v>
      </c>
      <c r="J123" s="11">
        <v>47.679667750090289</v>
      </c>
      <c r="K123" s="11">
        <v>104.29104144735668</v>
      </c>
      <c r="L123" s="11">
        <v>107.05257690309922</v>
      </c>
      <c r="M123" s="5"/>
    </row>
    <row r="124" spans="1:13" x14ac:dyDescent="0.25">
      <c r="A124" s="24">
        <v>1708</v>
      </c>
      <c r="B124" t="s">
        <v>53</v>
      </c>
      <c r="C124" t="s">
        <v>201</v>
      </c>
      <c r="D124" s="8">
        <v>2.16</v>
      </c>
      <c r="E124" s="8">
        <v>18.93</v>
      </c>
      <c r="F124" s="11">
        <v>23.130312768183213</v>
      </c>
      <c r="G124" s="11">
        <v>70.299864068304103</v>
      </c>
      <c r="H124" s="11">
        <v>6.5698231635126749</v>
      </c>
      <c r="I124" s="11">
        <v>31.525504419346152</v>
      </c>
      <c r="J124" s="11">
        <v>42.247785718104538</v>
      </c>
      <c r="K124" s="11">
        <v>105.34460137377479</v>
      </c>
      <c r="L124" s="11">
        <v>106.3173861353667</v>
      </c>
      <c r="M124" s="5"/>
    </row>
    <row r="125" spans="1:13" x14ac:dyDescent="0.25">
      <c r="A125" s="24">
        <v>1709</v>
      </c>
      <c r="B125" t="s">
        <v>53</v>
      </c>
      <c r="C125" t="s">
        <v>202</v>
      </c>
      <c r="D125" s="8">
        <v>2.29</v>
      </c>
      <c r="E125" s="8">
        <v>18.190000000000001</v>
      </c>
      <c r="F125" s="11">
        <v>25.342351302963994</v>
      </c>
      <c r="G125" s="11">
        <v>68.545056693853184</v>
      </c>
      <c r="H125" s="11">
        <v>6.1125920031828134</v>
      </c>
      <c r="I125" s="11">
        <v>32.251442212054904</v>
      </c>
      <c r="J125" s="11">
        <v>45.889440936106986</v>
      </c>
      <c r="K125" s="11">
        <v>104.62908688289696</v>
      </c>
      <c r="L125" s="11">
        <v>107.46276296258381</v>
      </c>
      <c r="M125" s="5"/>
    </row>
    <row r="126" spans="1:13" x14ac:dyDescent="0.25">
      <c r="A126" s="24">
        <v>1771</v>
      </c>
      <c r="B126" t="s">
        <v>53</v>
      </c>
      <c r="C126" t="s">
        <v>203</v>
      </c>
      <c r="D126" s="8">
        <v>2.12</v>
      </c>
      <c r="E126" s="8">
        <v>11.99</v>
      </c>
      <c r="F126" s="11">
        <v>25.3530961373663</v>
      </c>
      <c r="G126" s="11">
        <v>68.84184466943853</v>
      </c>
      <c r="H126" s="11">
        <v>5.8050591931951629</v>
      </c>
      <c r="I126" s="11">
        <v>33.44360593860705</v>
      </c>
      <c r="J126" s="11">
        <v>45.26048870447211</v>
      </c>
      <c r="K126" s="11">
        <v>101.91517995790056</v>
      </c>
      <c r="L126" s="11">
        <v>99.682215743440224</v>
      </c>
      <c r="M126" s="5"/>
    </row>
    <row r="127" spans="1:13" x14ac:dyDescent="0.25">
      <c r="A127" s="25">
        <v>1801</v>
      </c>
      <c r="B127" t="s">
        <v>54</v>
      </c>
      <c r="C127" t="s">
        <v>204</v>
      </c>
      <c r="D127" s="8">
        <v>2.46</v>
      </c>
      <c r="E127" s="8">
        <v>14.63</v>
      </c>
      <c r="F127" s="11">
        <v>25.687174702175213</v>
      </c>
      <c r="G127" s="11">
        <v>67.72580590162714</v>
      </c>
      <c r="H127" s="11">
        <v>6.587019396197638</v>
      </c>
      <c r="I127" s="11">
        <v>30.479030593107638</v>
      </c>
      <c r="J127" s="11">
        <v>47.654204580823524</v>
      </c>
      <c r="K127" s="11">
        <v>106.3328301693701</v>
      </c>
      <c r="L127" s="11">
        <v>105.44956850617464</v>
      </c>
      <c r="M127" s="5"/>
    </row>
    <row r="128" spans="1:13" x14ac:dyDescent="0.25">
      <c r="A128" s="25">
        <v>1802</v>
      </c>
      <c r="B128" t="s">
        <v>54</v>
      </c>
      <c r="C128" t="s">
        <v>205</v>
      </c>
      <c r="D128" s="8">
        <v>2.33</v>
      </c>
      <c r="E128" s="8">
        <v>14.18</v>
      </c>
      <c r="F128" s="11">
        <v>24.795379985675506</v>
      </c>
      <c r="G128" s="11">
        <v>67.629121027395968</v>
      </c>
      <c r="H128" s="11">
        <v>7.5754989869285332</v>
      </c>
      <c r="I128" s="11">
        <v>31.16219500276425</v>
      </c>
      <c r="J128" s="11">
        <v>47.865296015736888</v>
      </c>
      <c r="K128" s="11">
        <v>106.23544701359182</v>
      </c>
      <c r="L128" s="11">
        <v>109.02010664840272</v>
      </c>
      <c r="M128" s="5"/>
    </row>
    <row r="129" spans="1:13" x14ac:dyDescent="0.25">
      <c r="A129" s="25">
        <v>1803</v>
      </c>
      <c r="B129" t="s">
        <v>54</v>
      </c>
      <c r="C129" t="s">
        <v>206</v>
      </c>
      <c r="D129" s="8">
        <v>2.29</v>
      </c>
      <c r="E129" s="8">
        <v>13.1</v>
      </c>
      <c r="F129" s="11">
        <v>25.48688195063102</v>
      </c>
      <c r="G129" s="11">
        <v>67.687269329270094</v>
      </c>
      <c r="H129" s="11">
        <v>6.8258487200988842</v>
      </c>
      <c r="I129" s="11">
        <v>30.4194219306519</v>
      </c>
      <c r="J129" s="11">
        <v>47.738268940267119</v>
      </c>
      <c r="K129" s="11">
        <v>103.66425874211535</v>
      </c>
      <c r="L129" s="11">
        <v>104.81562127677057</v>
      </c>
      <c r="M129" s="5"/>
    </row>
    <row r="130" spans="1:13" x14ac:dyDescent="0.25">
      <c r="A130" s="25">
        <v>1804</v>
      </c>
      <c r="B130" t="s">
        <v>54</v>
      </c>
      <c r="C130" t="s">
        <v>207</v>
      </c>
      <c r="D130" s="8">
        <v>2.23</v>
      </c>
      <c r="E130" s="8">
        <v>13.92</v>
      </c>
      <c r="F130" s="11">
        <v>23.245119601145177</v>
      </c>
      <c r="G130" s="11">
        <v>68.33664436153876</v>
      </c>
      <c r="H130" s="11">
        <v>8.4182360373160687</v>
      </c>
      <c r="I130" s="11">
        <v>29.523424638303847</v>
      </c>
      <c r="J130" s="11">
        <v>46.334372918495276</v>
      </c>
      <c r="K130" s="11">
        <v>102.59918675223179</v>
      </c>
      <c r="L130" s="11">
        <v>103.73525595486224</v>
      </c>
      <c r="M130" s="5"/>
    </row>
    <row r="131" spans="1:13" x14ac:dyDescent="0.25">
      <c r="A131" s="25">
        <v>1805</v>
      </c>
      <c r="B131" t="s">
        <v>54</v>
      </c>
      <c r="C131" t="s">
        <v>208</v>
      </c>
      <c r="D131" s="8">
        <v>2.16</v>
      </c>
      <c r="E131" s="8">
        <v>13.04</v>
      </c>
      <c r="F131" s="11">
        <v>23.189707761560147</v>
      </c>
      <c r="G131" s="11">
        <v>68.948044359111009</v>
      </c>
      <c r="H131" s="11">
        <v>7.8622478793288346</v>
      </c>
      <c r="I131" s="11">
        <v>30.664808738256845</v>
      </c>
      <c r="J131" s="11">
        <v>45.036746044829151</v>
      </c>
      <c r="K131" s="11">
        <v>103.45535332842972</v>
      </c>
      <c r="L131" s="11">
        <v>102.73402674591381</v>
      </c>
      <c r="M131" s="5"/>
    </row>
    <row r="132" spans="1:13" x14ac:dyDescent="0.25">
      <c r="A132" s="25">
        <v>1806</v>
      </c>
      <c r="B132" t="s">
        <v>54</v>
      </c>
      <c r="C132" t="s">
        <v>209</v>
      </c>
      <c r="D132" s="8">
        <v>2.27</v>
      </c>
      <c r="E132" s="8">
        <v>14.06</v>
      </c>
      <c r="F132" s="11">
        <v>25.363221006355996</v>
      </c>
      <c r="G132" s="11">
        <v>66.992309662661654</v>
      </c>
      <c r="H132" s="11">
        <v>7.644469330982349</v>
      </c>
      <c r="I132" s="11">
        <v>30.275714379322466</v>
      </c>
      <c r="J132" s="11">
        <v>49.270864825452151</v>
      </c>
      <c r="K132" s="11">
        <v>102.97437323547727</v>
      </c>
      <c r="L132" s="11">
        <v>106.2525363201039</v>
      </c>
      <c r="M132" s="5"/>
    </row>
    <row r="133" spans="1:13" x14ac:dyDescent="0.25">
      <c r="A133" s="25">
        <v>1807</v>
      </c>
      <c r="B133" t="s">
        <v>54</v>
      </c>
      <c r="C133" t="s">
        <v>210</v>
      </c>
      <c r="D133" s="8">
        <v>2.2599999999999998</v>
      </c>
      <c r="E133" s="8">
        <v>13.56</v>
      </c>
      <c r="F133" s="11">
        <v>26.021855884692048</v>
      </c>
      <c r="G133" s="11">
        <v>66.937721528930084</v>
      </c>
      <c r="H133" s="11">
        <v>7.0404225863778729</v>
      </c>
      <c r="I133" s="11">
        <v>30.813066402222901</v>
      </c>
      <c r="J133" s="11">
        <v>49.392596156384855</v>
      </c>
      <c r="K133" s="11">
        <v>103.98030874730628</v>
      </c>
      <c r="L133" s="11">
        <v>104.29116379590933</v>
      </c>
      <c r="M133" s="5"/>
    </row>
    <row r="134" spans="1:13" x14ac:dyDescent="0.25">
      <c r="A134" s="25">
        <v>1808</v>
      </c>
      <c r="B134" t="s">
        <v>54</v>
      </c>
      <c r="C134" t="s">
        <v>211</v>
      </c>
      <c r="D134" s="8">
        <v>2.21</v>
      </c>
      <c r="E134" s="8">
        <v>14.22</v>
      </c>
      <c r="F134" s="11">
        <v>25.176553902433195</v>
      </c>
      <c r="G134" s="11">
        <v>68.635859069689644</v>
      </c>
      <c r="H134" s="11">
        <v>6.1875870278771608</v>
      </c>
      <c r="I134" s="11">
        <v>31.014617424908923</v>
      </c>
      <c r="J134" s="11">
        <v>45.696435296984731</v>
      </c>
      <c r="K134" s="11">
        <v>105.61401784836926</v>
      </c>
      <c r="L134" s="11">
        <v>104.73943843749103</v>
      </c>
      <c r="M134" s="5"/>
    </row>
    <row r="135" spans="1:13" x14ac:dyDescent="0.25">
      <c r="A135" s="25">
        <v>1809</v>
      </c>
      <c r="B135" t="s">
        <v>54</v>
      </c>
      <c r="C135" t="s">
        <v>212</v>
      </c>
      <c r="D135" s="8">
        <v>2.23</v>
      </c>
      <c r="E135" s="8">
        <v>14.72</v>
      </c>
      <c r="F135" s="11">
        <v>25.066970735936145</v>
      </c>
      <c r="G135" s="11">
        <v>67.291922118696363</v>
      </c>
      <c r="H135" s="11">
        <v>7.6411071453675001</v>
      </c>
      <c r="I135" s="11">
        <v>30.509563342991697</v>
      </c>
      <c r="J135" s="11">
        <v>48.606247007790628</v>
      </c>
      <c r="K135" s="11">
        <v>104.98367059426231</v>
      </c>
      <c r="L135" s="11">
        <v>108.5622380609167</v>
      </c>
      <c r="M135" s="5"/>
    </row>
    <row r="136" spans="1:13" x14ac:dyDescent="0.25">
      <c r="A136" s="25">
        <v>1810</v>
      </c>
      <c r="B136" t="s">
        <v>54</v>
      </c>
      <c r="C136" t="s">
        <v>213</v>
      </c>
      <c r="D136" s="8">
        <v>2.2400000000000002</v>
      </c>
      <c r="E136" s="8">
        <v>12.92</v>
      </c>
      <c r="F136" s="11">
        <v>24.23500077057729</v>
      </c>
      <c r="G136" s="11">
        <v>67.791479485392387</v>
      </c>
      <c r="H136" s="11">
        <v>7.9735197440303258</v>
      </c>
      <c r="I136" s="11">
        <v>30.271726254143289</v>
      </c>
      <c r="J136" s="11">
        <v>47.511163289404038</v>
      </c>
      <c r="K136" s="11">
        <v>104.42529059925516</v>
      </c>
      <c r="L136" s="11">
        <v>104.84551326951515</v>
      </c>
      <c r="M136" s="5"/>
    </row>
    <row r="137" spans="1:13" x14ac:dyDescent="0.25">
      <c r="A137" s="25">
        <v>1811</v>
      </c>
      <c r="B137" t="s">
        <v>54</v>
      </c>
      <c r="C137" t="s">
        <v>214</v>
      </c>
      <c r="D137" s="8">
        <v>2.25</v>
      </c>
      <c r="E137" s="8">
        <v>15.04</v>
      </c>
      <c r="F137" s="11">
        <v>25.759195979899495</v>
      </c>
      <c r="G137" s="11">
        <v>68.034170854271352</v>
      </c>
      <c r="H137" s="11">
        <v>6.206633165829146</v>
      </c>
      <c r="I137" s="11">
        <v>32.996582914572862</v>
      </c>
      <c r="J137" s="11">
        <v>46.984961739592876</v>
      </c>
      <c r="K137" s="11">
        <v>105.04302812489696</v>
      </c>
      <c r="L137" s="11">
        <v>101.81210198913232</v>
      </c>
      <c r="M137" s="5"/>
    </row>
    <row r="138" spans="1:13" x14ac:dyDescent="0.25">
      <c r="A138" s="25">
        <v>1812</v>
      </c>
      <c r="B138" t="s">
        <v>54</v>
      </c>
      <c r="C138" t="s">
        <v>215</v>
      </c>
      <c r="D138" s="8">
        <v>2.1800000000000002</v>
      </c>
      <c r="E138" s="8">
        <v>13.58</v>
      </c>
      <c r="F138" s="11">
        <v>24.775642392841558</v>
      </c>
      <c r="G138" s="11">
        <v>67.467736801866394</v>
      </c>
      <c r="H138" s="11">
        <v>7.7566208052920498</v>
      </c>
      <c r="I138" s="11">
        <v>29.665735876545074</v>
      </c>
      <c r="J138" s="11">
        <v>48.218992870135303</v>
      </c>
      <c r="K138" s="11">
        <v>103.1902764906292</v>
      </c>
      <c r="L138" s="11">
        <v>101.53139698178819</v>
      </c>
      <c r="M138" s="5"/>
    </row>
    <row r="139" spans="1:13" x14ac:dyDescent="0.25">
      <c r="A139" s="25">
        <v>1813</v>
      </c>
      <c r="B139" t="s">
        <v>54</v>
      </c>
      <c r="C139" t="s">
        <v>216</v>
      </c>
      <c r="D139" s="8">
        <v>2.52</v>
      </c>
      <c r="E139" s="8">
        <v>15.04</v>
      </c>
      <c r="F139" s="11">
        <v>27.571666149899936</v>
      </c>
      <c r="G139" s="11">
        <v>65.819545057361111</v>
      </c>
      <c r="H139" s="11">
        <v>6.6087887927389577</v>
      </c>
      <c r="I139" s="11">
        <v>30.768667023705497</v>
      </c>
      <c r="J139" s="11">
        <v>51.930554841804131</v>
      </c>
      <c r="K139" s="11">
        <v>106.94744210464913</v>
      </c>
      <c r="L139" s="11">
        <v>108.18171415493762</v>
      </c>
      <c r="M139" s="5"/>
    </row>
    <row r="140" spans="1:13" x14ac:dyDescent="0.25">
      <c r="A140" s="25">
        <v>1871</v>
      </c>
      <c r="B140" t="s">
        <v>54</v>
      </c>
      <c r="C140" t="s">
        <v>217</v>
      </c>
      <c r="D140" s="8">
        <v>2.15</v>
      </c>
      <c r="E140" s="8">
        <v>11.78</v>
      </c>
      <c r="F140" s="11">
        <v>23.285448685266239</v>
      </c>
      <c r="G140" s="11">
        <v>69.055216151554546</v>
      </c>
      <c r="H140" s="11">
        <v>7.6593351631792137</v>
      </c>
      <c r="I140" s="11">
        <v>31.164963272456081</v>
      </c>
      <c r="J140" s="11">
        <v>44.8116530118903</v>
      </c>
      <c r="K140" s="11">
        <v>103.26120696026344</v>
      </c>
      <c r="L140" s="11">
        <v>103.71939239008725</v>
      </c>
      <c r="M140" s="5"/>
    </row>
    <row r="141" spans="1:13" x14ac:dyDescent="0.25">
      <c r="A141" s="25">
        <v>1872</v>
      </c>
      <c r="B141" t="s">
        <v>54</v>
      </c>
      <c r="C141" t="s">
        <v>218</v>
      </c>
      <c r="D141" s="8">
        <v>2.04</v>
      </c>
      <c r="E141" s="8">
        <v>9.44</v>
      </c>
      <c r="F141" s="11">
        <v>23.756755098740165</v>
      </c>
      <c r="G141" s="11">
        <v>68.345147203988645</v>
      </c>
      <c r="H141" s="11">
        <v>7.8980976972711909</v>
      </c>
      <c r="I141" s="11">
        <v>30.194245687611886</v>
      </c>
      <c r="J141" s="11">
        <v>46.316167410586786</v>
      </c>
      <c r="K141" s="11">
        <v>100.59627690517743</v>
      </c>
      <c r="L141" s="11">
        <v>99.642317194586809</v>
      </c>
      <c r="M141" s="5"/>
    </row>
    <row r="142" spans="1:13" x14ac:dyDescent="0.25">
      <c r="A142" s="26">
        <v>1901</v>
      </c>
      <c r="B142" t="s">
        <v>55</v>
      </c>
      <c r="C142" t="s">
        <v>219</v>
      </c>
      <c r="D142" s="8">
        <v>2.2999999999999998</v>
      </c>
      <c r="E142" s="8">
        <v>14.21</v>
      </c>
      <c r="F142" s="11">
        <v>23.804163357199588</v>
      </c>
      <c r="G142" s="11">
        <v>69.118815106026759</v>
      </c>
      <c r="H142" s="11">
        <v>7.0770215367736551</v>
      </c>
      <c r="I142" s="11">
        <v>31.573458740707299</v>
      </c>
      <c r="J142" s="11">
        <v>44.678406084656089</v>
      </c>
      <c r="K142" s="11">
        <v>105.28451946650401</v>
      </c>
      <c r="L142" s="11">
        <v>106.01208008649938</v>
      </c>
      <c r="M142" s="5"/>
    </row>
    <row r="143" spans="1:13" x14ac:dyDescent="0.25">
      <c r="A143" s="26">
        <v>1902</v>
      </c>
      <c r="B143" t="s">
        <v>55</v>
      </c>
      <c r="C143" t="s">
        <v>220</v>
      </c>
      <c r="D143" s="8">
        <v>2.12</v>
      </c>
      <c r="E143" s="8">
        <v>14.54</v>
      </c>
      <c r="F143" s="11">
        <v>22.28184489587326</v>
      </c>
      <c r="G143" s="11">
        <v>69.848984285166722</v>
      </c>
      <c r="H143" s="11">
        <v>7.8691708189600096</v>
      </c>
      <c r="I143" s="11">
        <v>31.706656445636899</v>
      </c>
      <c r="J143" s="11">
        <v>43.166004521609338</v>
      </c>
      <c r="K143" s="11">
        <v>103.1108896708498</v>
      </c>
      <c r="L143" s="11">
        <v>104.95523768623436</v>
      </c>
      <c r="M143" s="5"/>
    </row>
    <row r="144" spans="1:13" x14ac:dyDescent="0.25">
      <c r="A144" s="26">
        <v>1903</v>
      </c>
      <c r="B144" t="s">
        <v>55</v>
      </c>
      <c r="C144" t="s">
        <v>221</v>
      </c>
      <c r="D144" s="8">
        <v>2.19</v>
      </c>
      <c r="E144" s="8">
        <v>16.14</v>
      </c>
      <c r="F144" s="11">
        <v>24.102550219286371</v>
      </c>
      <c r="G144" s="11">
        <v>69.760589817171109</v>
      </c>
      <c r="H144" s="11">
        <v>6.1368599635425127</v>
      </c>
      <c r="I144" s="11">
        <v>31.961665493529701</v>
      </c>
      <c r="J144" s="11">
        <v>43.347411858300617</v>
      </c>
      <c r="K144" s="11">
        <v>106.12723214285715</v>
      </c>
      <c r="L144" s="11">
        <v>106.55508252172392</v>
      </c>
      <c r="M144" s="5"/>
    </row>
    <row r="145" spans="1:13" x14ac:dyDescent="0.25">
      <c r="A145" s="26">
        <v>1904</v>
      </c>
      <c r="B145" t="s">
        <v>55</v>
      </c>
      <c r="C145" t="s">
        <v>222</v>
      </c>
      <c r="D145" s="8">
        <v>2.2999999999999998</v>
      </c>
      <c r="E145" s="8">
        <v>16.04</v>
      </c>
      <c r="F145" s="11">
        <v>24.748907389098839</v>
      </c>
      <c r="G145" s="11">
        <v>69.746920823823999</v>
      </c>
      <c r="H145" s="11">
        <v>5.504171787077162</v>
      </c>
      <c r="I145" s="11">
        <v>32.781560978314097</v>
      </c>
      <c r="J145" s="11">
        <v>43.375505067231899</v>
      </c>
      <c r="K145" s="11">
        <v>106.54204715693851</v>
      </c>
      <c r="L145" s="11">
        <v>105.1254625346901</v>
      </c>
      <c r="M145" s="5"/>
    </row>
    <row r="146" spans="1:13" x14ac:dyDescent="0.25">
      <c r="A146" s="26">
        <v>1905</v>
      </c>
      <c r="B146" t="s">
        <v>55</v>
      </c>
      <c r="C146" t="s">
        <v>223</v>
      </c>
      <c r="D146" s="8">
        <v>2.13</v>
      </c>
      <c r="E146" s="8">
        <v>17.809999999999999</v>
      </c>
      <c r="F146" s="11">
        <v>23.01118947225563</v>
      </c>
      <c r="G146" s="11">
        <v>71.644445276414132</v>
      </c>
      <c r="H146" s="11">
        <v>5.3443652513302418</v>
      </c>
      <c r="I146" s="11">
        <v>33.555781227332076</v>
      </c>
      <c r="J146" s="11">
        <v>39.578162150863534</v>
      </c>
      <c r="K146" s="11">
        <v>105.89402888719732</v>
      </c>
      <c r="L146" s="11">
        <v>105.61179135721044</v>
      </c>
      <c r="M146" s="5"/>
    </row>
    <row r="147" spans="1:13" x14ac:dyDescent="0.25">
      <c r="A147" s="26">
        <v>1906</v>
      </c>
      <c r="B147" t="s">
        <v>55</v>
      </c>
      <c r="C147" t="s">
        <v>224</v>
      </c>
      <c r="D147" s="8">
        <v>2.1</v>
      </c>
      <c r="E147" s="8">
        <v>16.100000000000001</v>
      </c>
      <c r="F147" s="11">
        <v>21.941167379321001</v>
      </c>
      <c r="G147" s="11">
        <v>70.32831163478734</v>
      </c>
      <c r="H147" s="11">
        <v>7.7305209858916522</v>
      </c>
      <c r="I147" s="11">
        <v>30.974337084274751</v>
      </c>
      <c r="J147" s="11">
        <v>42.19024696525743</v>
      </c>
      <c r="K147" s="11">
        <v>106.31813902639011</v>
      </c>
      <c r="L147" s="11">
        <v>108.37211605109415</v>
      </c>
      <c r="M147" s="5"/>
    </row>
    <row r="148" spans="1:13" x14ac:dyDescent="0.25">
      <c r="A148" s="26">
        <v>1971</v>
      </c>
      <c r="B148" t="s">
        <v>55</v>
      </c>
      <c r="C148" t="s">
        <v>225</v>
      </c>
      <c r="D148" s="8">
        <v>2.2000000000000002</v>
      </c>
      <c r="E148" s="8">
        <v>11.14</v>
      </c>
      <c r="F148" s="11">
        <v>24.553983064468373</v>
      </c>
      <c r="G148" s="11">
        <v>68.259836058639905</v>
      </c>
      <c r="H148" s="11">
        <v>7.1861808768917124</v>
      </c>
      <c r="I148" s="11">
        <v>31.239372996201769</v>
      </c>
      <c r="J148" s="11">
        <v>46.499033361423685</v>
      </c>
      <c r="K148" s="11">
        <v>102.41432154996019</v>
      </c>
      <c r="L148" s="11">
        <v>101.9136663112715</v>
      </c>
      <c r="M148" s="5"/>
    </row>
    <row r="149" spans="1:13" x14ac:dyDescent="0.25">
      <c r="A149" s="27">
        <v>2101</v>
      </c>
      <c r="B149" t="s">
        <v>56</v>
      </c>
      <c r="C149" t="s">
        <v>226</v>
      </c>
      <c r="D149" s="8">
        <v>2.27</v>
      </c>
      <c r="E149" s="8">
        <v>12.78</v>
      </c>
      <c r="F149" s="11">
        <v>25.373617781749136</v>
      </c>
      <c r="G149" s="11">
        <v>67.24189284783499</v>
      </c>
      <c r="H149" s="11">
        <v>7.3844893704158752</v>
      </c>
      <c r="I149" s="11">
        <v>29.689489556573218</v>
      </c>
      <c r="J149" s="11">
        <v>48.716812934304144</v>
      </c>
      <c r="K149" s="11">
        <v>105.18716577540106</v>
      </c>
      <c r="L149" s="11">
        <v>102.62997408141486</v>
      </c>
      <c r="M149" s="5"/>
    </row>
    <row r="150" spans="1:13" x14ac:dyDescent="0.25">
      <c r="A150" s="27">
        <v>2102</v>
      </c>
      <c r="B150" t="s">
        <v>56</v>
      </c>
      <c r="C150" t="s">
        <v>227</v>
      </c>
      <c r="D150" s="8">
        <v>2.2000000000000002</v>
      </c>
      <c r="E150" s="8">
        <v>11.18</v>
      </c>
      <c r="F150" s="11">
        <v>25.01636135130283</v>
      </c>
      <c r="G150" s="11">
        <v>69.200118149227109</v>
      </c>
      <c r="H150" s="11">
        <v>5.7835204994700655</v>
      </c>
      <c r="I150" s="11">
        <v>29.712213965933636</v>
      </c>
      <c r="J150" s="11">
        <v>44.508423792506044</v>
      </c>
      <c r="K150" s="11">
        <v>105.66626564863675</v>
      </c>
      <c r="L150" s="11">
        <v>100.48458321935207</v>
      </c>
      <c r="M150" s="5"/>
    </row>
    <row r="151" spans="1:13" x14ac:dyDescent="0.25">
      <c r="A151" s="27">
        <v>2103</v>
      </c>
      <c r="B151" t="s">
        <v>56</v>
      </c>
      <c r="C151" t="s">
        <v>228</v>
      </c>
      <c r="D151" s="8">
        <v>2.42</v>
      </c>
      <c r="E151" s="8">
        <v>13.85</v>
      </c>
      <c r="F151" s="11">
        <v>26.643894107600342</v>
      </c>
      <c r="G151" s="11">
        <v>67.193851409052101</v>
      </c>
      <c r="H151" s="11">
        <v>6.1622544833475663</v>
      </c>
      <c r="I151" s="11">
        <v>30.693993737546254</v>
      </c>
      <c r="J151" s="11">
        <v>48.823140663921514</v>
      </c>
      <c r="K151" s="11">
        <v>105.6261852918452</v>
      </c>
      <c r="L151" s="11">
        <v>102.83671933784801</v>
      </c>
      <c r="M151" s="5"/>
    </row>
    <row r="152" spans="1:13" x14ac:dyDescent="0.25">
      <c r="A152" s="27">
        <v>2104</v>
      </c>
      <c r="B152" t="s">
        <v>56</v>
      </c>
      <c r="C152" t="s">
        <v>229</v>
      </c>
      <c r="D152" s="8">
        <v>2.2599999999999998</v>
      </c>
      <c r="E152" s="8">
        <v>15.06</v>
      </c>
      <c r="F152" s="11">
        <v>23.920870234886408</v>
      </c>
      <c r="G152" s="11">
        <v>67.4720831728918</v>
      </c>
      <c r="H152" s="11">
        <v>8.6070465922217938</v>
      </c>
      <c r="I152" s="11">
        <v>29.862341162880245</v>
      </c>
      <c r="J152" s="11">
        <v>48.209444999286632</v>
      </c>
      <c r="K152" s="11">
        <v>107.03125</v>
      </c>
      <c r="L152" s="11">
        <v>103.48310921613644</v>
      </c>
      <c r="M152" s="5"/>
    </row>
    <row r="153" spans="1:13" x14ac:dyDescent="0.25">
      <c r="A153" s="27">
        <v>2105</v>
      </c>
      <c r="B153" t="s">
        <v>56</v>
      </c>
      <c r="C153" t="s">
        <v>230</v>
      </c>
      <c r="D153" s="8">
        <v>2.4300000000000002</v>
      </c>
      <c r="E153" s="8">
        <v>14.35</v>
      </c>
      <c r="F153" s="11">
        <v>26.495106211874546</v>
      </c>
      <c r="G153" s="11">
        <v>67.365592452386096</v>
      </c>
      <c r="H153" s="11">
        <v>6.139301335739364</v>
      </c>
      <c r="I153" s="11">
        <v>31.043681227075691</v>
      </c>
      <c r="J153" s="11">
        <v>48.443732712185181</v>
      </c>
      <c r="K153" s="11">
        <v>107.02074958379015</v>
      </c>
      <c r="L153" s="11">
        <v>102.88424560953725</v>
      </c>
      <c r="M153" s="5"/>
    </row>
    <row r="154" spans="1:13" x14ac:dyDescent="0.25">
      <c r="A154" s="27">
        <v>2171</v>
      </c>
      <c r="B154" t="s">
        <v>56</v>
      </c>
      <c r="C154" t="s">
        <v>231</v>
      </c>
      <c r="D154" s="8">
        <v>2.13</v>
      </c>
      <c r="E154" s="8">
        <v>9.34</v>
      </c>
      <c r="F154" s="11">
        <v>25.791441458204069</v>
      </c>
      <c r="G154" s="11">
        <v>70.710989160375263</v>
      </c>
      <c r="H154" s="11">
        <v>3.4975693814206719</v>
      </c>
      <c r="I154" s="11">
        <v>33.570332251623888</v>
      </c>
      <c r="J154" s="11">
        <v>41.420734156604894</v>
      </c>
      <c r="K154" s="11">
        <v>101.62201891053861</v>
      </c>
      <c r="L154" s="11">
        <v>100.64409826243259</v>
      </c>
      <c r="M154" s="5"/>
    </row>
    <row r="155" spans="1:13" x14ac:dyDescent="0.25">
      <c r="A155" s="27">
        <v>2172</v>
      </c>
      <c r="B155" t="s">
        <v>56</v>
      </c>
      <c r="C155" t="s">
        <v>232</v>
      </c>
      <c r="D155" s="8">
        <v>2.0699999999999998</v>
      </c>
      <c r="E155" s="8">
        <v>9.5299999999999994</v>
      </c>
      <c r="F155" s="11">
        <v>23.899744659084813</v>
      </c>
      <c r="G155" s="11">
        <v>68.938747055741871</v>
      </c>
      <c r="H155" s="11">
        <v>7.1615082851733138</v>
      </c>
      <c r="I155" s="11">
        <v>30.022564051794191</v>
      </c>
      <c r="J155" s="11">
        <v>45.056306171539354</v>
      </c>
      <c r="K155" s="11">
        <v>102.03096873124875</v>
      </c>
      <c r="L155" s="11">
        <v>99.394537135968875</v>
      </c>
      <c r="M155" s="5"/>
    </row>
    <row r="156" spans="1:13" x14ac:dyDescent="0.25">
      <c r="A156" s="28">
        <v>3101</v>
      </c>
      <c r="B156" t="s">
        <v>57</v>
      </c>
      <c r="C156" t="s">
        <v>233</v>
      </c>
      <c r="D156" s="8">
        <v>2.14</v>
      </c>
      <c r="E156" s="8">
        <v>10.63</v>
      </c>
      <c r="F156" s="11">
        <v>26.414580139669564</v>
      </c>
      <c r="G156" s="11">
        <v>68.383580309998294</v>
      </c>
      <c r="H156" s="11">
        <v>5.2018395503321404</v>
      </c>
      <c r="I156" s="11">
        <v>32.88025889967637</v>
      </c>
      <c r="J156" s="11">
        <v>46.233934442562521</v>
      </c>
      <c r="K156" s="11">
        <v>98.828230831752919</v>
      </c>
      <c r="L156" s="11">
        <v>95.305544314042905</v>
      </c>
      <c r="M156" s="5"/>
    </row>
    <row r="157" spans="1:13" x14ac:dyDescent="0.25">
      <c r="A157" s="28">
        <v>3171</v>
      </c>
      <c r="B157" t="s">
        <v>57</v>
      </c>
      <c r="C157" t="s">
        <v>234</v>
      </c>
      <c r="D157" s="8">
        <v>1.71</v>
      </c>
      <c r="E157" s="8">
        <v>9.1300000000000008</v>
      </c>
      <c r="F157" s="11">
        <v>20.160544817893548</v>
      </c>
      <c r="G157" s="11">
        <v>71.732317808626192</v>
      </c>
      <c r="H157" s="11">
        <v>8.1071373734802563</v>
      </c>
      <c r="I157" s="11">
        <v>29.835673234271965</v>
      </c>
      <c r="J157" s="11">
        <v>39.407178040431958</v>
      </c>
      <c r="K157" s="11">
        <v>100.10848975374549</v>
      </c>
      <c r="L157" s="11">
        <v>101.59043474535294</v>
      </c>
      <c r="M157" s="5"/>
    </row>
    <row r="158" spans="1:13" x14ac:dyDescent="0.25">
      <c r="A158" s="28">
        <v>3172</v>
      </c>
      <c r="B158" t="s">
        <v>57</v>
      </c>
      <c r="C158" t="s">
        <v>235</v>
      </c>
      <c r="D158" s="8">
        <v>1.81</v>
      </c>
      <c r="E158" s="8">
        <v>9.8699999999999992</v>
      </c>
      <c r="F158" s="11">
        <v>21.624370782246881</v>
      </c>
      <c r="G158" s="11">
        <v>70.845736105328555</v>
      </c>
      <c r="H158" s="11">
        <v>7.5298931124245616</v>
      </c>
      <c r="I158" s="11">
        <v>30.273139843605097</v>
      </c>
      <c r="J158" s="11">
        <v>41.151755204190266</v>
      </c>
      <c r="K158" s="11">
        <v>100.00583676892036</v>
      </c>
      <c r="L158" s="11">
        <v>100.94097592892317</v>
      </c>
      <c r="M158" s="5"/>
    </row>
    <row r="159" spans="1:13" x14ac:dyDescent="0.25">
      <c r="A159" s="28">
        <v>3173</v>
      </c>
      <c r="B159" t="s">
        <v>57</v>
      </c>
      <c r="C159" t="s">
        <v>236</v>
      </c>
      <c r="D159" s="8">
        <v>1.59</v>
      </c>
      <c r="E159" s="8">
        <v>8.74</v>
      </c>
      <c r="F159" s="11">
        <v>19.067441941571499</v>
      </c>
      <c r="G159" s="11">
        <v>71.623059067887567</v>
      </c>
      <c r="H159" s="11">
        <v>9.3094989905409218</v>
      </c>
      <c r="I159" s="11">
        <v>30.192804746201453</v>
      </c>
      <c r="J159" s="11">
        <v>39.619839338634613</v>
      </c>
      <c r="K159" s="11">
        <v>102.03199282872113</v>
      </c>
      <c r="L159" s="11">
        <v>105.57164247033448</v>
      </c>
      <c r="M159" s="5"/>
    </row>
    <row r="160" spans="1:13" x14ac:dyDescent="0.25">
      <c r="A160" s="28">
        <v>3174</v>
      </c>
      <c r="B160" t="s">
        <v>57</v>
      </c>
      <c r="C160" t="s">
        <v>237</v>
      </c>
      <c r="D160" s="8">
        <v>1.82</v>
      </c>
      <c r="E160" s="8">
        <v>9.6300000000000008</v>
      </c>
      <c r="F160" s="11">
        <v>21.341320150274047</v>
      </c>
      <c r="G160" s="11">
        <v>71.079583498722982</v>
      </c>
      <c r="H160" s="11">
        <v>7.5790963510029634</v>
      </c>
      <c r="I160" s="11">
        <v>30.408482384497876</v>
      </c>
      <c r="J160" s="11">
        <v>40.687374739325236</v>
      </c>
      <c r="K160" s="11">
        <v>100.5980679413546</v>
      </c>
      <c r="L160" s="11">
        <v>101.78123411987879</v>
      </c>
      <c r="M160" s="5"/>
    </row>
    <row r="161" spans="1:13" x14ac:dyDescent="0.25">
      <c r="A161" s="28">
        <v>3175</v>
      </c>
      <c r="B161" t="s">
        <v>57</v>
      </c>
      <c r="C161" t="s">
        <v>238</v>
      </c>
      <c r="D161" s="8">
        <v>1.91</v>
      </c>
      <c r="E161" s="8">
        <v>9.73</v>
      </c>
      <c r="F161" s="11">
        <v>22.274766814696438</v>
      </c>
      <c r="G161" s="11">
        <v>70.427065520185977</v>
      </c>
      <c r="H161" s="11">
        <v>7.2981676651175862</v>
      </c>
      <c r="I161" s="11">
        <v>30.353657974399557</v>
      </c>
      <c r="J161" s="11">
        <v>41.990865672711806</v>
      </c>
      <c r="K161" s="11">
        <v>101.13295935960862</v>
      </c>
      <c r="L161" s="11">
        <v>102.54179254783485</v>
      </c>
      <c r="M161" s="5"/>
    </row>
    <row r="162" spans="1:13" x14ac:dyDescent="0.25">
      <c r="A162" s="29">
        <v>3201</v>
      </c>
      <c r="B162" t="s">
        <v>58</v>
      </c>
      <c r="C162" t="s">
        <v>239</v>
      </c>
      <c r="D162" s="8">
        <v>2.0099999999999998</v>
      </c>
      <c r="E162" s="8">
        <v>13.67</v>
      </c>
      <c r="F162" s="11">
        <v>23.598233206224535</v>
      </c>
      <c r="G162" s="11">
        <v>70.605616024040501</v>
      </c>
      <c r="H162" s="11">
        <v>5.7961507697349601</v>
      </c>
      <c r="I162" s="11">
        <v>32.792698557736372</v>
      </c>
      <c r="J162" s="11">
        <v>41.631793094122997</v>
      </c>
      <c r="K162" s="11">
        <v>104.82737410602702</v>
      </c>
      <c r="L162" s="11">
        <v>106.08973974361631</v>
      </c>
      <c r="M162" s="5"/>
    </row>
    <row r="163" spans="1:13" x14ac:dyDescent="0.25">
      <c r="A163" s="29">
        <v>3202</v>
      </c>
      <c r="B163" t="s">
        <v>58</v>
      </c>
      <c r="C163" t="s">
        <v>240</v>
      </c>
      <c r="D163" s="8">
        <v>2.0499999999999998</v>
      </c>
      <c r="E163" s="8">
        <v>13.87</v>
      </c>
      <c r="F163" s="11">
        <v>22.992573931170188</v>
      </c>
      <c r="G163" s="11">
        <v>69.059379685199787</v>
      </c>
      <c r="H163" s="11">
        <v>7.948046383630027</v>
      </c>
      <c r="I163" s="11">
        <v>31.83030182467828</v>
      </c>
      <c r="J163" s="11">
        <v>44.80292243550393</v>
      </c>
      <c r="K163" s="11">
        <v>102.44440439160599</v>
      </c>
      <c r="L163" s="11">
        <v>105.40504147366154</v>
      </c>
      <c r="M163" s="5"/>
    </row>
    <row r="164" spans="1:13" x14ac:dyDescent="0.25">
      <c r="A164" s="29">
        <v>3203</v>
      </c>
      <c r="B164" t="s">
        <v>58</v>
      </c>
      <c r="C164" t="s">
        <v>241</v>
      </c>
      <c r="D164" s="8">
        <v>2.2400000000000002</v>
      </c>
      <c r="E164" s="8">
        <v>13.68</v>
      </c>
      <c r="F164" s="11">
        <v>24.165984779364546</v>
      </c>
      <c r="G164" s="11">
        <v>68.26404143850641</v>
      </c>
      <c r="H164" s="11">
        <v>7.5699737821290372</v>
      </c>
      <c r="I164" s="11">
        <v>31.210614366543144</v>
      </c>
      <c r="J164" s="11">
        <v>46.49000834514311</v>
      </c>
      <c r="K164" s="11">
        <v>104.31530160197333</v>
      </c>
      <c r="L164" s="11">
        <v>107.79295271064169</v>
      </c>
      <c r="M164" s="5"/>
    </row>
    <row r="165" spans="1:13" x14ac:dyDescent="0.25">
      <c r="A165" s="29">
        <v>3204</v>
      </c>
      <c r="B165" t="s">
        <v>58</v>
      </c>
      <c r="C165" t="s">
        <v>242</v>
      </c>
      <c r="D165" s="8">
        <v>2.04</v>
      </c>
      <c r="E165" s="8">
        <v>12.82</v>
      </c>
      <c r="F165" s="11">
        <v>23.587324769725832</v>
      </c>
      <c r="G165" s="11">
        <v>69.696585783488246</v>
      </c>
      <c r="H165" s="11">
        <v>6.7160894467859196</v>
      </c>
      <c r="I165" s="11">
        <v>31.180601676838705</v>
      </c>
      <c r="J165" s="11">
        <v>43.479051198646957</v>
      </c>
      <c r="K165" s="11">
        <v>103.23704783710808</v>
      </c>
      <c r="L165" s="11">
        <v>105.09505677181372</v>
      </c>
      <c r="M165" s="5"/>
    </row>
    <row r="166" spans="1:13" x14ac:dyDescent="0.25">
      <c r="A166" s="29">
        <v>3205</v>
      </c>
      <c r="B166" t="s">
        <v>58</v>
      </c>
      <c r="C166" t="s">
        <v>243</v>
      </c>
      <c r="D166" s="8">
        <v>2.3199999999999998</v>
      </c>
      <c r="E166" s="8">
        <v>13.56</v>
      </c>
      <c r="F166" s="11">
        <v>25.510648998560274</v>
      </c>
      <c r="G166" s="11">
        <v>67.871545757848523</v>
      </c>
      <c r="H166" s="11">
        <v>6.61780524359121</v>
      </c>
      <c r="I166" s="11">
        <v>32.859576831727765</v>
      </c>
      <c r="J166" s="11">
        <v>47.337148260596706</v>
      </c>
      <c r="K166" s="11">
        <v>104.29702428899851</v>
      </c>
      <c r="L166" s="11">
        <v>107.7243038688608</v>
      </c>
      <c r="M166" s="5"/>
    </row>
    <row r="167" spans="1:13" x14ac:dyDescent="0.25">
      <c r="A167" s="29">
        <v>3206</v>
      </c>
      <c r="B167" t="s">
        <v>58</v>
      </c>
      <c r="C167" t="s">
        <v>244</v>
      </c>
      <c r="D167" s="8">
        <v>2.17</v>
      </c>
      <c r="E167" s="8">
        <v>13.83</v>
      </c>
      <c r="F167" s="11">
        <v>22.201195459657988</v>
      </c>
      <c r="G167" s="11">
        <v>68.099272581347108</v>
      </c>
      <c r="H167" s="11">
        <v>9.6995319589949016</v>
      </c>
      <c r="I167" s="11">
        <v>30.066534888297536</v>
      </c>
      <c r="J167" s="11">
        <v>46.844446657702967</v>
      </c>
      <c r="K167" s="11">
        <v>102.16279833133892</v>
      </c>
      <c r="L167" s="11">
        <v>106.94735725274531</v>
      </c>
      <c r="M167" s="5"/>
    </row>
    <row r="168" spans="1:13" x14ac:dyDescent="0.25">
      <c r="A168" s="29">
        <v>3207</v>
      </c>
      <c r="B168" t="s">
        <v>58</v>
      </c>
      <c r="C168" t="s">
        <v>245</v>
      </c>
      <c r="D168" s="8">
        <v>2.15</v>
      </c>
      <c r="E168" s="8">
        <v>12.95</v>
      </c>
      <c r="F168" s="11">
        <v>20.554636580848566</v>
      </c>
      <c r="G168" s="11">
        <v>67.06755956448454</v>
      </c>
      <c r="H168" s="11">
        <v>12.377803854666899</v>
      </c>
      <c r="I168" s="11">
        <v>29.072275397083473</v>
      </c>
      <c r="J168" s="11">
        <v>49.103382692568943</v>
      </c>
      <c r="K168" s="11">
        <v>99.656251225153881</v>
      </c>
      <c r="L168" s="11">
        <v>106.30504091142177</v>
      </c>
      <c r="M168" s="5"/>
    </row>
    <row r="169" spans="1:13" x14ac:dyDescent="0.25">
      <c r="A169" s="29">
        <v>3208</v>
      </c>
      <c r="B169" t="s">
        <v>58</v>
      </c>
      <c r="C169" t="s">
        <v>246</v>
      </c>
      <c r="D169" s="8">
        <v>2.19</v>
      </c>
      <c r="E169" s="8">
        <v>12.83</v>
      </c>
      <c r="F169" s="11">
        <v>22.464566719034639</v>
      </c>
      <c r="G169" s="11">
        <v>67.994786381523994</v>
      </c>
      <c r="H169" s="11">
        <v>9.5406468994413629</v>
      </c>
      <c r="I169" s="11">
        <v>29.374390039789418</v>
      </c>
      <c r="J169" s="11">
        <v>47.070099520413642</v>
      </c>
      <c r="K169" s="11">
        <v>102.37248642271462</v>
      </c>
      <c r="L169" s="11">
        <v>106.15881374880121</v>
      </c>
      <c r="M169" s="5"/>
    </row>
    <row r="170" spans="1:13" x14ac:dyDescent="0.25">
      <c r="A170" s="29">
        <v>3209</v>
      </c>
      <c r="B170" t="s">
        <v>58</v>
      </c>
      <c r="C170" t="s">
        <v>247</v>
      </c>
      <c r="D170" s="8">
        <v>2.12</v>
      </c>
      <c r="E170" s="8">
        <v>13.51</v>
      </c>
      <c r="F170" s="11">
        <v>23.59421599675559</v>
      </c>
      <c r="G170" s="11">
        <v>69.538192537941995</v>
      </c>
      <c r="H170" s="11">
        <v>6.8675914653024179</v>
      </c>
      <c r="I170" s="11">
        <v>31.680593047730781</v>
      </c>
      <c r="J170" s="11">
        <v>43.805866028854851</v>
      </c>
      <c r="K170" s="11">
        <v>102.24155632626591</v>
      </c>
      <c r="L170" s="11">
        <v>105.48678639062068</v>
      </c>
      <c r="M170" s="5"/>
    </row>
    <row r="171" spans="1:13" x14ac:dyDescent="0.25">
      <c r="A171" s="29">
        <v>3210</v>
      </c>
      <c r="B171" t="s">
        <v>58</v>
      </c>
      <c r="C171" t="s">
        <v>248</v>
      </c>
      <c r="D171" s="8">
        <v>2.1</v>
      </c>
      <c r="E171" s="8">
        <v>13.37</v>
      </c>
      <c r="F171" s="11">
        <v>21.428545447006076</v>
      </c>
      <c r="G171" s="11">
        <v>68.978707275784018</v>
      </c>
      <c r="H171" s="11">
        <v>9.5927472772098952</v>
      </c>
      <c r="I171" s="11">
        <v>29.692616257372141</v>
      </c>
      <c r="J171" s="11">
        <v>44.972273255556424</v>
      </c>
      <c r="K171" s="11">
        <v>100.27492981057962</v>
      </c>
      <c r="L171" s="11">
        <v>103.42247961563764</v>
      </c>
      <c r="M171" s="5"/>
    </row>
    <row r="172" spans="1:13" x14ac:dyDescent="0.25">
      <c r="A172" s="29">
        <v>3211</v>
      </c>
      <c r="B172" t="s">
        <v>58</v>
      </c>
      <c r="C172" t="s">
        <v>249</v>
      </c>
      <c r="D172" s="8">
        <v>2.0299999999999998</v>
      </c>
      <c r="E172" s="8">
        <v>11.83</v>
      </c>
      <c r="F172" s="11">
        <v>21.139017148477805</v>
      </c>
      <c r="G172" s="11">
        <v>68.059651647141123</v>
      </c>
      <c r="H172" s="11">
        <v>10.801331204381077</v>
      </c>
      <c r="I172" s="11">
        <v>30.323529851577025</v>
      </c>
      <c r="J172" s="11">
        <v>46.929932169584582</v>
      </c>
      <c r="K172" s="11">
        <v>101.20079763450889</v>
      </c>
      <c r="L172" s="11">
        <v>106.58973081886305</v>
      </c>
      <c r="M172" s="5"/>
    </row>
    <row r="173" spans="1:13" x14ac:dyDescent="0.25">
      <c r="A173" s="29">
        <v>3212</v>
      </c>
      <c r="B173" t="s">
        <v>58</v>
      </c>
      <c r="C173" t="s">
        <v>250</v>
      </c>
      <c r="D173" s="8">
        <v>2.0499999999999998</v>
      </c>
      <c r="E173" s="8">
        <v>13.83</v>
      </c>
      <c r="F173" s="11">
        <v>21.791186658982443</v>
      </c>
      <c r="G173" s="11">
        <v>70.378133594761053</v>
      </c>
      <c r="H173" s="11">
        <v>7.8306797462565036</v>
      </c>
      <c r="I173" s="11">
        <v>30.867510700830021</v>
      </c>
      <c r="J173" s="11">
        <v>42.089587904962563</v>
      </c>
      <c r="K173" s="11">
        <v>100.36614833322375</v>
      </c>
      <c r="L173" s="11">
        <v>106.94024309756902</v>
      </c>
      <c r="M173" s="5"/>
    </row>
    <row r="174" spans="1:13" x14ac:dyDescent="0.25">
      <c r="A174" s="29">
        <v>3213</v>
      </c>
      <c r="B174" t="s">
        <v>58</v>
      </c>
      <c r="C174" t="s">
        <v>251</v>
      </c>
      <c r="D174" s="8">
        <v>2.09</v>
      </c>
      <c r="E174" s="8">
        <v>13.03</v>
      </c>
      <c r="F174" s="11">
        <v>21.203394923261008</v>
      </c>
      <c r="G174" s="11">
        <v>69.071315079388128</v>
      </c>
      <c r="H174" s="11">
        <v>9.7252899973508651</v>
      </c>
      <c r="I174" s="11">
        <v>29.915494360067868</v>
      </c>
      <c r="J174" s="11">
        <v>44.777900761066356</v>
      </c>
      <c r="K174" s="11">
        <v>99.820825458179968</v>
      </c>
      <c r="L174" s="11">
        <v>101.62932546165553</v>
      </c>
      <c r="M174" s="5"/>
    </row>
    <row r="175" spans="1:13" x14ac:dyDescent="0.25">
      <c r="A175" s="29">
        <v>3214</v>
      </c>
      <c r="B175" t="s">
        <v>58</v>
      </c>
      <c r="C175" t="s">
        <v>252</v>
      </c>
      <c r="D175" s="8">
        <v>2.25</v>
      </c>
      <c r="E175" s="8">
        <v>13.08</v>
      </c>
      <c r="F175" s="11">
        <v>24.158632048755489</v>
      </c>
      <c r="G175" s="11">
        <v>68.96050474171885</v>
      </c>
      <c r="H175" s="11">
        <v>6.8808632095256606</v>
      </c>
      <c r="I175" s="11">
        <v>31.676374549752939</v>
      </c>
      <c r="J175" s="11">
        <v>45.010539546563486</v>
      </c>
      <c r="K175" s="11">
        <v>102.60118819940496</v>
      </c>
      <c r="L175" s="11">
        <v>104.26157149196982</v>
      </c>
      <c r="M175" s="5"/>
    </row>
    <row r="176" spans="1:13" x14ac:dyDescent="0.25">
      <c r="A176" s="29">
        <v>3215</v>
      </c>
      <c r="B176" t="s">
        <v>58</v>
      </c>
      <c r="C176" t="s">
        <v>253</v>
      </c>
      <c r="D176" s="8">
        <v>2.02</v>
      </c>
      <c r="E176" s="8">
        <v>12.92</v>
      </c>
      <c r="F176" s="11">
        <v>22.771615334135443</v>
      </c>
      <c r="G176" s="11">
        <v>70.388423802420988</v>
      </c>
      <c r="H176" s="11">
        <v>6.8399608634435642</v>
      </c>
      <c r="I176" s="11">
        <v>31.794309857663983</v>
      </c>
      <c r="J176" s="11">
        <v>42.068815577825923</v>
      </c>
      <c r="K176" s="11">
        <v>101.71762576013121</v>
      </c>
      <c r="L176" s="11">
        <v>103.99767694242313</v>
      </c>
      <c r="M176" s="5"/>
    </row>
    <row r="177" spans="1:13" x14ac:dyDescent="0.25">
      <c r="A177" s="29">
        <v>3216</v>
      </c>
      <c r="B177" t="s">
        <v>58</v>
      </c>
      <c r="C177" t="s">
        <v>254</v>
      </c>
      <c r="D177" s="8">
        <v>1.93</v>
      </c>
      <c r="E177" s="8">
        <v>11.38</v>
      </c>
      <c r="F177" s="11">
        <v>23.506183586480159</v>
      </c>
      <c r="G177" s="11">
        <v>71.569760461067418</v>
      </c>
      <c r="H177" s="11">
        <v>4.9240559524524228</v>
      </c>
      <c r="I177" s="11">
        <v>31.180524704328512</v>
      </c>
      <c r="J177" s="11">
        <v>39.723815415587552</v>
      </c>
      <c r="K177" s="11">
        <v>102.11764249069316</v>
      </c>
      <c r="L177" s="11">
        <v>99.69010727056019</v>
      </c>
      <c r="M177" s="5"/>
    </row>
    <row r="178" spans="1:13" x14ac:dyDescent="0.25">
      <c r="A178" s="29">
        <v>3217</v>
      </c>
      <c r="B178" t="s">
        <v>58</v>
      </c>
      <c r="C178" t="s">
        <v>255</v>
      </c>
      <c r="D178" s="8">
        <v>2.16</v>
      </c>
      <c r="E178" s="8">
        <v>13.2</v>
      </c>
      <c r="F178" s="11">
        <v>23.439985665992776</v>
      </c>
      <c r="G178" s="11">
        <v>69.185250472276536</v>
      </c>
      <c r="H178" s="11">
        <v>7.3747638617306865</v>
      </c>
      <c r="I178" s="11">
        <v>31.430003645643456</v>
      </c>
      <c r="J178" s="11">
        <v>44.539478165322748</v>
      </c>
      <c r="K178" s="11">
        <v>103.64608873829553</v>
      </c>
      <c r="L178" s="11">
        <v>105.8840889431639</v>
      </c>
      <c r="M178" s="5"/>
    </row>
    <row r="179" spans="1:13" x14ac:dyDescent="0.25">
      <c r="A179" s="29">
        <v>3218</v>
      </c>
      <c r="B179" t="s">
        <v>58</v>
      </c>
      <c r="C179" t="s">
        <v>256</v>
      </c>
      <c r="D179" s="8">
        <v>2.12</v>
      </c>
      <c r="E179" s="8">
        <v>13.21</v>
      </c>
      <c r="F179" s="11">
        <v>20.511873747837562</v>
      </c>
      <c r="G179" s="11">
        <v>67.481042346167783</v>
      </c>
      <c r="H179" s="11">
        <v>12.007083905994653</v>
      </c>
      <c r="I179" s="11">
        <v>28.921163055196576</v>
      </c>
      <c r="J179" s="11">
        <v>48.189767856600021</v>
      </c>
      <c r="K179" s="11">
        <v>99.535657924058924</v>
      </c>
      <c r="L179" s="11">
        <v>105.2091082575929</v>
      </c>
      <c r="M179" s="5"/>
    </row>
    <row r="180" spans="1:13" x14ac:dyDescent="0.25">
      <c r="A180" s="29">
        <v>3271</v>
      </c>
      <c r="B180" t="s">
        <v>58</v>
      </c>
      <c r="C180" t="s">
        <v>257</v>
      </c>
      <c r="D180" s="8">
        <v>1.87</v>
      </c>
      <c r="E180" s="8">
        <v>11.01</v>
      </c>
      <c r="F180" s="11">
        <v>22.093705442356125</v>
      </c>
      <c r="G180" s="11">
        <v>70.202969392542457</v>
      </c>
      <c r="H180" s="11">
        <v>7.7033251651014201</v>
      </c>
      <c r="I180" s="11">
        <v>31.141988598751901</v>
      </c>
      <c r="J180" s="11">
        <v>42.444117200864198</v>
      </c>
      <c r="K180" s="11">
        <v>102.26240394578996</v>
      </c>
      <c r="L180" s="11">
        <v>104.61233132054073</v>
      </c>
      <c r="M180" s="5"/>
    </row>
    <row r="181" spans="1:13" x14ac:dyDescent="0.25">
      <c r="A181" s="29">
        <v>3272</v>
      </c>
      <c r="B181" t="s">
        <v>58</v>
      </c>
      <c r="C181" t="s">
        <v>258</v>
      </c>
      <c r="D181" s="8">
        <v>2.1</v>
      </c>
      <c r="E181" s="8">
        <v>12.89</v>
      </c>
      <c r="F181" s="11">
        <v>23.585136747039279</v>
      </c>
      <c r="G181" s="11">
        <v>68.56708485984494</v>
      </c>
      <c r="H181" s="11">
        <v>7.8477783931157878</v>
      </c>
      <c r="I181" s="11">
        <v>31.287009031268635</v>
      </c>
      <c r="J181" s="11">
        <v>45.842571846835476</v>
      </c>
      <c r="K181" s="11">
        <v>100.72576464489373</v>
      </c>
      <c r="L181" s="11">
        <v>102.06173157939989</v>
      </c>
      <c r="M181" s="5"/>
    </row>
    <row r="182" spans="1:13" x14ac:dyDescent="0.25">
      <c r="A182" s="29">
        <v>3273</v>
      </c>
      <c r="B182" t="s">
        <v>58</v>
      </c>
      <c r="C182" t="s">
        <v>259</v>
      </c>
      <c r="D182" s="8">
        <v>1.82</v>
      </c>
      <c r="E182" s="8">
        <v>9.8699999999999992</v>
      </c>
      <c r="F182" s="11">
        <v>20.717628182921501</v>
      </c>
      <c r="G182" s="11">
        <v>70.564734292371426</v>
      </c>
      <c r="H182" s="11">
        <v>8.7176375247070759</v>
      </c>
      <c r="I182" s="11">
        <v>31.300353197342883</v>
      </c>
      <c r="J182" s="11">
        <v>41.713847579541948</v>
      </c>
      <c r="K182" s="11">
        <v>100.36749480383249</v>
      </c>
      <c r="L182" s="11">
        <v>101.71275915265079</v>
      </c>
      <c r="M182" s="5"/>
    </row>
    <row r="183" spans="1:13" x14ac:dyDescent="0.25">
      <c r="A183" s="29">
        <v>3274</v>
      </c>
      <c r="B183" t="s">
        <v>58</v>
      </c>
      <c r="C183" t="s">
        <v>260</v>
      </c>
      <c r="D183" s="8">
        <v>2.0099999999999998</v>
      </c>
      <c r="E183" s="8">
        <v>12.27</v>
      </c>
      <c r="F183" s="11">
        <v>22.428526547282438</v>
      </c>
      <c r="G183" s="11">
        <v>69.343386742067239</v>
      </c>
      <c r="H183" s="11">
        <v>8.2280867106503308</v>
      </c>
      <c r="I183" s="11">
        <v>31.200982492217179</v>
      </c>
      <c r="J183" s="11">
        <v>44.209858644436387</v>
      </c>
      <c r="K183" s="11">
        <v>100.64181542076159</v>
      </c>
      <c r="L183" s="11">
        <v>105.7209573847052</v>
      </c>
      <c r="M183" s="5"/>
    </row>
    <row r="184" spans="1:13" x14ac:dyDescent="0.25">
      <c r="A184" s="29">
        <v>3275</v>
      </c>
      <c r="B184" t="s">
        <v>58</v>
      </c>
      <c r="C184" t="s">
        <v>261</v>
      </c>
      <c r="D184" s="8">
        <v>1.84</v>
      </c>
      <c r="E184" s="8">
        <v>9.7100000000000009</v>
      </c>
      <c r="F184" s="11">
        <v>21.759081958512631</v>
      </c>
      <c r="G184" s="11">
        <v>71.037960732044908</v>
      </c>
      <c r="H184" s="11">
        <v>7.2029573094424624</v>
      </c>
      <c r="I184" s="11">
        <v>31.025024199457814</v>
      </c>
      <c r="J184" s="11">
        <v>40.769806691382747</v>
      </c>
      <c r="K184" s="11">
        <v>100.48213311408117</v>
      </c>
      <c r="L184" s="11">
        <v>101.94590430204084</v>
      </c>
      <c r="M184" s="5"/>
    </row>
    <row r="185" spans="1:13" x14ac:dyDescent="0.25">
      <c r="A185" s="29">
        <v>3276</v>
      </c>
      <c r="B185" t="s">
        <v>58</v>
      </c>
      <c r="C185" t="s">
        <v>262</v>
      </c>
      <c r="D185" s="8">
        <v>1.98</v>
      </c>
      <c r="E185" s="8">
        <v>10.31</v>
      </c>
      <c r="F185" s="11">
        <v>22.58389286450511</v>
      </c>
      <c r="G185" s="11">
        <v>70.637773507671469</v>
      </c>
      <c r="H185" s="11">
        <v>6.7783336278234243</v>
      </c>
      <c r="I185" s="11">
        <v>29.818594104308389</v>
      </c>
      <c r="J185" s="11">
        <v>41.567315947663204</v>
      </c>
      <c r="K185" s="11">
        <v>100.87532085084514</v>
      </c>
      <c r="L185" s="11">
        <v>101.16658440353017</v>
      </c>
      <c r="M185" s="5"/>
    </row>
    <row r="186" spans="1:13" x14ac:dyDescent="0.25">
      <c r="A186" s="29">
        <v>3277</v>
      </c>
      <c r="B186" t="s">
        <v>58</v>
      </c>
      <c r="C186" t="s">
        <v>263</v>
      </c>
      <c r="D186" s="8">
        <v>2.0299999999999998</v>
      </c>
      <c r="E186" s="8">
        <v>10.82</v>
      </c>
      <c r="F186" s="11">
        <v>21.497050267609623</v>
      </c>
      <c r="G186" s="11">
        <v>71.05646351355314</v>
      </c>
      <c r="H186" s="11">
        <v>7.4464862188372418</v>
      </c>
      <c r="I186" s="11">
        <v>31.783814422578889</v>
      </c>
      <c r="J186" s="11">
        <v>40.733150870822961</v>
      </c>
      <c r="K186" s="11">
        <v>101.43310377863008</v>
      </c>
      <c r="L186" s="11">
        <v>104.40789818258</v>
      </c>
      <c r="M186" s="5"/>
    </row>
    <row r="187" spans="1:13" x14ac:dyDescent="0.25">
      <c r="A187" s="29">
        <v>3278</v>
      </c>
      <c r="B187" t="s">
        <v>58</v>
      </c>
      <c r="C187" t="s">
        <v>264</v>
      </c>
      <c r="D187" s="8">
        <v>2.14</v>
      </c>
      <c r="E187" s="8">
        <v>11.86</v>
      </c>
      <c r="F187" s="11">
        <v>23.370588679618781</v>
      </c>
      <c r="G187" s="11">
        <v>68.522010694741454</v>
      </c>
      <c r="H187" s="11">
        <v>8.1074006256397695</v>
      </c>
      <c r="I187" s="11">
        <v>31.176629932252748</v>
      </c>
      <c r="J187" s="11">
        <v>45.938507913157679</v>
      </c>
      <c r="K187" s="11">
        <v>102.09556094813475</v>
      </c>
      <c r="L187" s="11">
        <v>103.48072215422278</v>
      </c>
      <c r="M187" s="5"/>
    </row>
    <row r="188" spans="1:13" x14ac:dyDescent="0.25">
      <c r="A188" s="29">
        <v>3279</v>
      </c>
      <c r="B188" t="s">
        <v>58</v>
      </c>
      <c r="C188" t="s">
        <v>265</v>
      </c>
      <c r="D188" s="8">
        <v>2.15</v>
      </c>
      <c r="E188" s="8">
        <v>13.29</v>
      </c>
      <c r="F188" s="11">
        <v>22.175407783860539</v>
      </c>
      <c r="G188" s="11">
        <v>67.798153995627885</v>
      </c>
      <c r="H188" s="11">
        <v>10.026438220511574</v>
      </c>
      <c r="I188" s="11">
        <v>31.147586928495357</v>
      </c>
      <c r="J188" s="11">
        <v>47.496641289744737</v>
      </c>
      <c r="K188" s="11">
        <v>100.67678405714233</v>
      </c>
      <c r="L188" s="11">
        <v>106.34360688203985</v>
      </c>
      <c r="M188" s="5"/>
    </row>
    <row r="189" spans="1:13" x14ac:dyDescent="0.25">
      <c r="A189" s="30">
        <v>3301</v>
      </c>
      <c r="B189" t="s">
        <v>59</v>
      </c>
      <c r="C189" t="s">
        <v>266</v>
      </c>
      <c r="D189" s="8">
        <v>2.12</v>
      </c>
      <c r="E189" s="8">
        <v>11.72</v>
      </c>
      <c r="F189" s="11">
        <v>21.516846586368722</v>
      </c>
      <c r="G189" s="11">
        <v>68.597207491246166</v>
      </c>
      <c r="H189" s="11">
        <v>9.8859459223851101</v>
      </c>
      <c r="I189" s="11">
        <v>29.887495701783699</v>
      </c>
      <c r="J189" s="11">
        <v>45.778528976942987</v>
      </c>
      <c r="K189" s="11">
        <v>101.21931610321697</v>
      </c>
      <c r="L189" s="11">
        <v>107.29593550554249</v>
      </c>
      <c r="M189" s="5"/>
    </row>
    <row r="190" spans="1:13" x14ac:dyDescent="0.25">
      <c r="A190" s="30">
        <v>3302</v>
      </c>
      <c r="B190" t="s">
        <v>59</v>
      </c>
      <c r="C190" t="s">
        <v>267</v>
      </c>
      <c r="D190" s="8">
        <v>2.13</v>
      </c>
      <c r="E190" s="8">
        <v>11.96</v>
      </c>
      <c r="F190" s="11">
        <v>21.463992310429244</v>
      </c>
      <c r="G190" s="11">
        <v>68.276166047996085</v>
      </c>
      <c r="H190" s="11">
        <v>10.259841641574663</v>
      </c>
      <c r="I190" s="11">
        <v>28.88618054559841</v>
      </c>
      <c r="J190" s="11">
        <v>46.463994374996112</v>
      </c>
      <c r="K190" s="11">
        <v>101.02676769941263</v>
      </c>
      <c r="L190" s="11">
        <v>105.89312953983701</v>
      </c>
      <c r="M190" s="5"/>
    </row>
    <row r="191" spans="1:13" x14ac:dyDescent="0.25">
      <c r="A191" s="30">
        <v>3303</v>
      </c>
      <c r="B191" t="s">
        <v>59</v>
      </c>
      <c r="C191" t="s">
        <v>268</v>
      </c>
      <c r="D191" s="8">
        <v>2.17</v>
      </c>
      <c r="E191" s="8">
        <v>12.73</v>
      </c>
      <c r="F191" s="11">
        <v>22.396025880188304</v>
      </c>
      <c r="G191" s="11">
        <v>68.03032781382754</v>
      </c>
      <c r="H191" s="11">
        <v>9.5736463059841554</v>
      </c>
      <c r="I191" s="11">
        <v>29.558367048238392</v>
      </c>
      <c r="J191" s="11">
        <v>46.993264935693063</v>
      </c>
      <c r="K191" s="11">
        <v>102.31632830687477</v>
      </c>
      <c r="L191" s="11">
        <v>105.96912657051935</v>
      </c>
      <c r="M191" s="5"/>
    </row>
    <row r="192" spans="1:13" x14ac:dyDescent="0.25">
      <c r="A192" s="30">
        <v>3304</v>
      </c>
      <c r="B192" t="s">
        <v>59</v>
      </c>
      <c r="C192" t="s">
        <v>269</v>
      </c>
      <c r="D192" s="8">
        <v>2.2000000000000002</v>
      </c>
      <c r="E192" s="8">
        <v>11.79</v>
      </c>
      <c r="F192" s="11">
        <v>21.990467217717793</v>
      </c>
      <c r="G192" s="11">
        <v>67.97922651728571</v>
      </c>
      <c r="H192" s="11">
        <v>10.030306264996495</v>
      </c>
      <c r="I192" s="11">
        <v>29.57910027985724</v>
      </c>
      <c r="J192" s="11">
        <v>47.103762609849746</v>
      </c>
      <c r="K192" s="11">
        <v>102.70776259144414</v>
      </c>
      <c r="L192" s="11">
        <v>106.94344327767928</v>
      </c>
      <c r="M192" s="5"/>
    </row>
    <row r="193" spans="1:13" x14ac:dyDescent="0.25">
      <c r="A193" s="30">
        <v>3305</v>
      </c>
      <c r="B193" t="s">
        <v>59</v>
      </c>
      <c r="C193" t="s">
        <v>270</v>
      </c>
      <c r="D193" s="8">
        <v>2.16</v>
      </c>
      <c r="E193" s="8">
        <v>10.91</v>
      </c>
      <c r="F193" s="11">
        <v>21.847099504819603</v>
      </c>
      <c r="G193" s="11">
        <v>67.83992135654438</v>
      </c>
      <c r="H193" s="11">
        <v>10.312979138636013</v>
      </c>
      <c r="I193" s="11">
        <v>30.886471627399015</v>
      </c>
      <c r="J193" s="11">
        <v>47.405831257428481</v>
      </c>
      <c r="K193" s="11">
        <v>102.81293578033031</v>
      </c>
      <c r="L193" s="11">
        <v>109.64318346882833</v>
      </c>
      <c r="M193" s="5"/>
    </row>
    <row r="194" spans="1:13" x14ac:dyDescent="0.25">
      <c r="A194" s="30">
        <v>3306</v>
      </c>
      <c r="B194" t="s">
        <v>59</v>
      </c>
      <c r="C194" t="s">
        <v>271</v>
      </c>
      <c r="D194" s="8">
        <v>2.08</v>
      </c>
      <c r="E194" s="8">
        <v>10.17</v>
      </c>
      <c r="F194" s="11">
        <v>20.167839505638167</v>
      </c>
      <c r="G194" s="11">
        <v>67.465690283894261</v>
      </c>
      <c r="H194" s="11">
        <v>12.366470210467572</v>
      </c>
      <c r="I194" s="11">
        <v>29.028909129830616</v>
      </c>
      <c r="J194" s="11">
        <v>48.223488975213947</v>
      </c>
      <c r="K194" s="11">
        <v>100.34235199040124</v>
      </c>
      <c r="L194" s="11">
        <v>108.48707831218229</v>
      </c>
      <c r="M194" s="5"/>
    </row>
    <row r="195" spans="1:13" x14ac:dyDescent="0.25">
      <c r="A195" s="30">
        <v>3307</v>
      </c>
      <c r="B195" t="s">
        <v>59</v>
      </c>
      <c r="C195" t="s">
        <v>272</v>
      </c>
      <c r="D195" s="8">
        <v>2.21</v>
      </c>
      <c r="E195" s="8">
        <v>12.87</v>
      </c>
      <c r="F195" s="11">
        <v>22.275858553029867</v>
      </c>
      <c r="G195" s="11">
        <v>68.408094943740267</v>
      </c>
      <c r="H195" s="11">
        <v>9.3160465032298632</v>
      </c>
      <c r="I195" s="11">
        <v>29.950739544101808</v>
      </c>
      <c r="J195" s="11">
        <v>46.181530244690101</v>
      </c>
      <c r="K195" s="11">
        <v>103.49663045686597</v>
      </c>
      <c r="L195" s="11">
        <v>107.16573611519247</v>
      </c>
      <c r="M195" s="5"/>
    </row>
    <row r="196" spans="1:13" x14ac:dyDescent="0.25">
      <c r="A196" s="30">
        <v>3308</v>
      </c>
      <c r="B196" t="s">
        <v>59</v>
      </c>
      <c r="C196" t="s">
        <v>273</v>
      </c>
      <c r="D196" s="8">
        <v>2.06</v>
      </c>
      <c r="E196" s="8">
        <v>12.37</v>
      </c>
      <c r="F196" s="11">
        <v>20.916908389184634</v>
      </c>
      <c r="G196" s="11">
        <v>68.544063243567464</v>
      </c>
      <c r="H196" s="11">
        <v>10.539028367247901</v>
      </c>
      <c r="I196" s="11">
        <v>28.984383660805857</v>
      </c>
      <c r="J196" s="11">
        <v>45.891555399416042</v>
      </c>
      <c r="K196" s="11">
        <v>100.81988119757794</v>
      </c>
      <c r="L196" s="11">
        <v>105.10907570097827</v>
      </c>
      <c r="M196" s="5"/>
    </row>
    <row r="197" spans="1:13" x14ac:dyDescent="0.25">
      <c r="A197" s="30">
        <v>3309</v>
      </c>
      <c r="B197" t="s">
        <v>59</v>
      </c>
      <c r="C197" t="s">
        <v>274</v>
      </c>
      <c r="D197" s="8">
        <v>2.1</v>
      </c>
      <c r="E197" s="8">
        <v>10.07</v>
      </c>
      <c r="F197" s="11">
        <v>21.606677174252184</v>
      </c>
      <c r="G197" s="11">
        <v>67.630795748450907</v>
      </c>
      <c r="H197" s="11">
        <v>10.762527077296911</v>
      </c>
      <c r="I197" s="11">
        <v>28.972059537421874</v>
      </c>
      <c r="J197" s="11">
        <v>47.861634471882603</v>
      </c>
      <c r="K197" s="11">
        <v>100.66646215338137</v>
      </c>
      <c r="L197" s="11">
        <v>103.6952764071781</v>
      </c>
      <c r="M197" s="5"/>
    </row>
    <row r="198" spans="1:13" x14ac:dyDescent="0.25">
      <c r="A198" s="30">
        <v>3310</v>
      </c>
      <c r="B198" t="s">
        <v>59</v>
      </c>
      <c r="C198" t="s">
        <v>275</v>
      </c>
      <c r="D198" s="8">
        <v>1.92</v>
      </c>
      <c r="E198" s="8">
        <v>10.4</v>
      </c>
      <c r="F198" s="11">
        <v>19.711256709518445</v>
      </c>
      <c r="G198" s="11">
        <v>68.721514393230308</v>
      </c>
      <c r="H198" s="11">
        <v>11.567228897251246</v>
      </c>
      <c r="I198" s="11">
        <v>27.920765601421177</v>
      </c>
      <c r="J198" s="11">
        <v>45.514837504586339</v>
      </c>
      <c r="K198" s="11">
        <v>98.892907618193703</v>
      </c>
      <c r="L198" s="11">
        <v>104.06317012151536</v>
      </c>
      <c r="M198" s="5"/>
    </row>
    <row r="199" spans="1:13" x14ac:dyDescent="0.25">
      <c r="A199" s="30">
        <v>3311</v>
      </c>
      <c r="B199" t="s">
        <v>59</v>
      </c>
      <c r="C199" t="s">
        <v>276</v>
      </c>
      <c r="D199" s="8">
        <v>1.97</v>
      </c>
      <c r="E199" s="8">
        <v>9.65</v>
      </c>
      <c r="F199" s="11">
        <v>20.239244727419088</v>
      </c>
      <c r="G199" s="11">
        <v>69.540926239132119</v>
      </c>
      <c r="H199" s="11">
        <v>10.219829033448798</v>
      </c>
      <c r="I199" s="11">
        <v>28.718543343294911</v>
      </c>
      <c r="J199" s="11">
        <v>43.800212922283364</v>
      </c>
      <c r="K199" s="11">
        <v>99.695568882225544</v>
      </c>
      <c r="L199" s="11">
        <v>103.46626084129961</v>
      </c>
      <c r="M199" s="5"/>
    </row>
    <row r="200" spans="1:13" x14ac:dyDescent="0.25">
      <c r="A200" s="30">
        <v>3312</v>
      </c>
      <c r="B200" t="s">
        <v>59</v>
      </c>
      <c r="C200" t="s">
        <v>277</v>
      </c>
      <c r="D200" s="8">
        <v>1.89</v>
      </c>
      <c r="E200" s="8">
        <v>10.33</v>
      </c>
      <c r="F200" s="11">
        <v>17.67305235306662</v>
      </c>
      <c r="G200" s="11">
        <v>67.02602272577154</v>
      </c>
      <c r="H200" s="11">
        <v>15.30092492116184</v>
      </c>
      <c r="I200" s="11">
        <v>27.583636387655385</v>
      </c>
      <c r="J200" s="11">
        <v>49.19578386612212</v>
      </c>
      <c r="K200" s="11">
        <v>99.41479532890007</v>
      </c>
      <c r="L200" s="11">
        <v>107.88968381526733</v>
      </c>
      <c r="M200" s="5"/>
    </row>
    <row r="201" spans="1:13" x14ac:dyDescent="0.25">
      <c r="A201" s="30">
        <v>3313</v>
      </c>
      <c r="B201" t="s">
        <v>59</v>
      </c>
      <c r="C201" t="s">
        <v>278</v>
      </c>
      <c r="D201" s="8">
        <v>1.91</v>
      </c>
      <c r="E201" s="8">
        <v>10.53</v>
      </c>
      <c r="F201" s="11">
        <v>20.777985792321697</v>
      </c>
      <c r="G201" s="11">
        <v>68.291847254635456</v>
      </c>
      <c r="H201" s="11">
        <v>10.930166953042853</v>
      </c>
      <c r="I201" s="11">
        <v>28.061959838945448</v>
      </c>
      <c r="J201" s="11">
        <v>46.430363242535215</v>
      </c>
      <c r="K201" s="11">
        <v>99.173129888279561</v>
      </c>
      <c r="L201" s="11">
        <v>102.33657302622821</v>
      </c>
      <c r="M201" s="5"/>
    </row>
    <row r="202" spans="1:13" x14ac:dyDescent="0.25">
      <c r="A202" s="30">
        <v>3314</v>
      </c>
      <c r="B202" t="s">
        <v>59</v>
      </c>
      <c r="C202" t="s">
        <v>279</v>
      </c>
      <c r="D202" s="8">
        <v>2.02</v>
      </c>
      <c r="E202" s="8">
        <v>10.95</v>
      </c>
      <c r="F202" s="11">
        <v>20.282685928629558</v>
      </c>
      <c r="G202" s="11">
        <v>68.156405934480404</v>
      </c>
      <c r="H202" s="11">
        <v>11.560908136890042</v>
      </c>
      <c r="I202" s="11">
        <v>27.906253037087065</v>
      </c>
      <c r="J202" s="11">
        <v>46.721351616062684</v>
      </c>
      <c r="K202" s="11">
        <v>99.159105261408584</v>
      </c>
      <c r="L202" s="11">
        <v>104.36304816678647</v>
      </c>
      <c r="M202" s="5"/>
    </row>
    <row r="203" spans="1:13" x14ac:dyDescent="0.25">
      <c r="A203" s="30">
        <v>3315</v>
      </c>
      <c r="B203" t="s">
        <v>59</v>
      </c>
      <c r="C203" t="s">
        <v>280</v>
      </c>
      <c r="D203" s="8">
        <v>2.16</v>
      </c>
      <c r="E203" s="8">
        <v>11.99</v>
      </c>
      <c r="F203" s="11">
        <v>22.142058395561484</v>
      </c>
      <c r="G203" s="11">
        <v>68.114642105723561</v>
      </c>
      <c r="H203" s="11">
        <v>9.743299498714963</v>
      </c>
      <c r="I203" s="11">
        <v>29.897059985129221</v>
      </c>
      <c r="J203" s="11">
        <v>46.811312382418251</v>
      </c>
      <c r="K203" s="11">
        <v>100.46522036134078</v>
      </c>
      <c r="L203" s="11">
        <v>105.6331324814339</v>
      </c>
      <c r="M203" s="5"/>
    </row>
    <row r="204" spans="1:13" x14ac:dyDescent="0.25">
      <c r="A204" s="30">
        <v>3316</v>
      </c>
      <c r="B204" t="s">
        <v>59</v>
      </c>
      <c r="C204" t="s">
        <v>281</v>
      </c>
      <c r="D204" s="8">
        <v>1.99</v>
      </c>
      <c r="E204" s="8">
        <v>13</v>
      </c>
      <c r="F204" s="11">
        <v>19.121534087450982</v>
      </c>
      <c r="G204" s="11">
        <v>69.490405432429384</v>
      </c>
      <c r="H204" s="11">
        <v>11.388060480119638</v>
      </c>
      <c r="I204" s="11">
        <v>28.930099206176692</v>
      </c>
      <c r="J204" s="11">
        <v>43.904758329892523</v>
      </c>
      <c r="K204" s="11">
        <v>99.891375662065343</v>
      </c>
      <c r="L204" s="11">
        <v>104.70569235738346</v>
      </c>
      <c r="M204" s="5"/>
    </row>
    <row r="205" spans="1:13" x14ac:dyDescent="0.25">
      <c r="A205" s="30">
        <v>3317</v>
      </c>
      <c r="B205" t="s">
        <v>59</v>
      </c>
      <c r="C205" t="s">
        <v>282</v>
      </c>
      <c r="D205" s="8">
        <v>2</v>
      </c>
      <c r="E205" s="8">
        <v>12.81</v>
      </c>
      <c r="F205" s="11">
        <v>20.788419441039725</v>
      </c>
      <c r="G205" s="11">
        <v>68.966840912560372</v>
      </c>
      <c r="H205" s="11">
        <v>10.244739646399898</v>
      </c>
      <c r="I205" s="11">
        <v>29.311548397328064</v>
      </c>
      <c r="J205" s="11">
        <v>44.997217034755906</v>
      </c>
      <c r="K205" s="11">
        <v>100.83433296523067</v>
      </c>
      <c r="L205" s="11">
        <v>103.92864508146009</v>
      </c>
      <c r="M205" s="5"/>
    </row>
    <row r="206" spans="1:13" x14ac:dyDescent="0.25">
      <c r="A206" s="30">
        <v>3318</v>
      </c>
      <c r="B206" t="s">
        <v>59</v>
      </c>
      <c r="C206" t="s">
        <v>283</v>
      </c>
      <c r="D206" s="8">
        <v>1.88</v>
      </c>
      <c r="E206" s="8">
        <v>11.05</v>
      </c>
      <c r="F206" s="11">
        <v>20.124974597929203</v>
      </c>
      <c r="G206" s="11">
        <v>69.312431468264819</v>
      </c>
      <c r="H206" s="11">
        <v>10.562593933805973</v>
      </c>
      <c r="I206" s="11">
        <v>28.990387066522189</v>
      </c>
      <c r="J206" s="11">
        <v>44.274263478674371</v>
      </c>
      <c r="K206" s="11">
        <v>99.741681750769501</v>
      </c>
      <c r="L206" s="11">
        <v>103.36233081305441</v>
      </c>
      <c r="M206" s="5"/>
    </row>
    <row r="207" spans="1:13" x14ac:dyDescent="0.25">
      <c r="A207" s="30">
        <v>3319</v>
      </c>
      <c r="B207" t="s">
        <v>59</v>
      </c>
      <c r="C207" t="s">
        <v>284</v>
      </c>
      <c r="D207" s="8">
        <v>2.0299999999999998</v>
      </c>
      <c r="E207" s="8">
        <v>11.39</v>
      </c>
      <c r="F207" s="11">
        <v>22.05822864712524</v>
      </c>
      <c r="G207" s="11">
        <v>69.892824438339602</v>
      </c>
      <c r="H207" s="11">
        <v>8.0489469145351578</v>
      </c>
      <c r="I207" s="11">
        <v>29.767890006134479</v>
      </c>
      <c r="J207" s="11">
        <v>43.076203893035341</v>
      </c>
      <c r="K207" s="11">
        <v>99.315114007380473</v>
      </c>
      <c r="L207" s="11">
        <v>103.33938101130333</v>
      </c>
      <c r="M207" s="5"/>
    </row>
    <row r="208" spans="1:13" x14ac:dyDescent="0.25">
      <c r="A208" s="30">
        <v>3320</v>
      </c>
      <c r="B208" t="s">
        <v>59</v>
      </c>
      <c r="C208" t="s">
        <v>285</v>
      </c>
      <c r="D208" s="8">
        <v>2.02</v>
      </c>
      <c r="E208" s="8">
        <v>10.65</v>
      </c>
      <c r="F208" s="11">
        <v>22.149937548591019</v>
      </c>
      <c r="G208" s="11">
        <v>69.546733408954765</v>
      </c>
      <c r="H208" s="11">
        <v>8.3033290424542141</v>
      </c>
      <c r="I208" s="11">
        <v>30.291721364754466</v>
      </c>
      <c r="J208" s="11">
        <v>43.788205568148371</v>
      </c>
      <c r="K208" s="11">
        <v>101.04801926920514</v>
      </c>
      <c r="L208" s="11">
        <v>103.51886540005353</v>
      </c>
      <c r="M208" s="5"/>
    </row>
    <row r="209" spans="1:13" x14ac:dyDescent="0.25">
      <c r="A209" s="30">
        <v>3321</v>
      </c>
      <c r="B209" t="s">
        <v>59</v>
      </c>
      <c r="C209" t="s">
        <v>286</v>
      </c>
      <c r="D209" s="8">
        <v>2.0499999999999998</v>
      </c>
      <c r="E209" s="8">
        <v>11.03</v>
      </c>
      <c r="F209" s="11">
        <v>23.076519386566595</v>
      </c>
      <c r="G209" s="11">
        <v>69.031231715312259</v>
      </c>
      <c r="H209" s="11">
        <v>7.8922488981211476</v>
      </c>
      <c r="I209" s="11">
        <v>31.124484308164202</v>
      </c>
      <c r="J209" s="11">
        <v>44.861966844810567</v>
      </c>
      <c r="K209" s="11">
        <v>101.65677613383099</v>
      </c>
      <c r="L209" s="11">
        <v>106.60805091355303</v>
      </c>
      <c r="M209" s="5"/>
    </row>
    <row r="210" spans="1:13" x14ac:dyDescent="0.25">
      <c r="A210" s="30">
        <v>3322</v>
      </c>
      <c r="B210" t="s">
        <v>59</v>
      </c>
      <c r="C210" t="s">
        <v>287</v>
      </c>
      <c r="D210" s="8">
        <v>1.97</v>
      </c>
      <c r="E210" s="8">
        <v>11.69</v>
      </c>
      <c r="F210" s="11">
        <v>21.139890195058236</v>
      </c>
      <c r="G210" s="11">
        <v>69.19662455489977</v>
      </c>
      <c r="H210" s="11">
        <v>9.6634852500420028</v>
      </c>
      <c r="I210" s="11">
        <v>29.497025438686819</v>
      </c>
      <c r="J210" s="11">
        <v>44.515719723671225</v>
      </c>
      <c r="K210" s="11">
        <v>98.870070705909413</v>
      </c>
      <c r="L210" s="11">
        <v>99.93999620384146</v>
      </c>
      <c r="M210" s="5"/>
    </row>
    <row r="211" spans="1:13" x14ac:dyDescent="0.25">
      <c r="A211" s="30">
        <v>3323</v>
      </c>
      <c r="B211" t="s">
        <v>59</v>
      </c>
      <c r="C211" t="s">
        <v>288</v>
      </c>
      <c r="D211" s="8">
        <v>2.04</v>
      </c>
      <c r="E211" s="8">
        <v>11.73</v>
      </c>
      <c r="F211" s="11">
        <v>20.823036709980993</v>
      </c>
      <c r="G211" s="11">
        <v>68.387512513117628</v>
      </c>
      <c r="H211" s="11">
        <v>10.78945077690139</v>
      </c>
      <c r="I211" s="11">
        <v>28.361494900451195</v>
      </c>
      <c r="J211" s="11">
        <v>46.225526159938482</v>
      </c>
      <c r="K211" s="11">
        <v>100.59465489644468</v>
      </c>
      <c r="L211" s="11">
        <v>104.47231713269647</v>
      </c>
      <c r="M211" s="5"/>
    </row>
    <row r="212" spans="1:13" x14ac:dyDescent="0.25">
      <c r="A212" s="30">
        <v>3324</v>
      </c>
      <c r="B212" t="s">
        <v>59</v>
      </c>
      <c r="C212" t="s">
        <v>289</v>
      </c>
      <c r="D212" s="8">
        <v>2.0099999999999998</v>
      </c>
      <c r="E212" s="8">
        <v>11.87</v>
      </c>
      <c r="F212" s="11">
        <v>21.290778068576376</v>
      </c>
      <c r="G212" s="11">
        <v>69.786423903460985</v>
      </c>
      <c r="H212" s="11">
        <v>8.9227980279626298</v>
      </c>
      <c r="I212" s="11">
        <v>30.415082059442422</v>
      </c>
      <c r="J212" s="11">
        <v>43.294346387966428</v>
      </c>
      <c r="K212" s="11">
        <v>101.21545857618766</v>
      </c>
      <c r="L212" s="11">
        <v>104.8656346749226</v>
      </c>
      <c r="M212" s="5"/>
    </row>
    <row r="213" spans="1:13" x14ac:dyDescent="0.25">
      <c r="A213" s="30">
        <v>3325</v>
      </c>
      <c r="B213" t="s">
        <v>59</v>
      </c>
      <c r="C213" t="s">
        <v>290</v>
      </c>
      <c r="D213" s="8">
        <v>2.09</v>
      </c>
      <c r="E213" s="8">
        <v>10.64</v>
      </c>
      <c r="F213" s="11">
        <v>22.836574975287494</v>
      </c>
      <c r="G213" s="11">
        <v>68.642927082335291</v>
      </c>
      <c r="H213" s="11">
        <v>8.5204979423772151</v>
      </c>
      <c r="I213" s="11">
        <v>30.484014572783298</v>
      </c>
      <c r="J213" s="11">
        <v>45.681433252478833</v>
      </c>
      <c r="K213" s="11">
        <v>101.24863026905513</v>
      </c>
      <c r="L213" s="11">
        <v>103.53481768110969</v>
      </c>
      <c r="M213" s="5"/>
    </row>
    <row r="214" spans="1:13" x14ac:dyDescent="0.25">
      <c r="A214" s="30">
        <v>3326</v>
      </c>
      <c r="B214" t="s">
        <v>59</v>
      </c>
      <c r="C214" t="s">
        <v>291</v>
      </c>
      <c r="D214" s="8">
        <v>2.2000000000000002</v>
      </c>
      <c r="E214" s="8">
        <v>13.42</v>
      </c>
      <c r="F214" s="11">
        <v>23.469968838078046</v>
      </c>
      <c r="G214" s="11">
        <v>68.371849596911659</v>
      </c>
      <c r="H214" s="11">
        <v>8.1581815650102989</v>
      </c>
      <c r="I214" s="11">
        <v>31.515122414976926</v>
      </c>
      <c r="J214" s="11">
        <v>46.259024129891287</v>
      </c>
      <c r="K214" s="11">
        <v>103.32577696812073</v>
      </c>
      <c r="L214" s="11">
        <v>108.24402099078006</v>
      </c>
      <c r="M214" s="5"/>
    </row>
    <row r="215" spans="1:13" x14ac:dyDescent="0.25">
      <c r="A215" s="30">
        <v>3327</v>
      </c>
      <c r="B215" t="s">
        <v>59</v>
      </c>
      <c r="C215" t="s">
        <v>292</v>
      </c>
      <c r="D215" s="8">
        <v>2.19</v>
      </c>
      <c r="E215" s="8">
        <v>14.05</v>
      </c>
      <c r="F215" s="11">
        <v>22.742987274964793</v>
      </c>
      <c r="G215" s="11">
        <v>68.934611334542822</v>
      </c>
      <c r="H215" s="11">
        <v>8.3224013904923808</v>
      </c>
      <c r="I215" s="11">
        <v>31.568490630669494</v>
      </c>
      <c r="J215" s="11">
        <v>45.065008801885341</v>
      </c>
      <c r="K215" s="11">
        <v>102.49402056770566</v>
      </c>
      <c r="L215" s="11">
        <v>107.30403775738463</v>
      </c>
      <c r="M215" s="5"/>
    </row>
    <row r="216" spans="1:13" x14ac:dyDescent="0.25">
      <c r="A216" s="30">
        <v>3328</v>
      </c>
      <c r="B216" t="s">
        <v>59</v>
      </c>
      <c r="C216" t="s">
        <v>293</v>
      </c>
      <c r="D216" s="8">
        <v>2.15</v>
      </c>
      <c r="E216" s="8">
        <v>13.23</v>
      </c>
      <c r="F216" s="11">
        <v>23.472088448359397</v>
      </c>
      <c r="G216" s="11">
        <v>68.990829436865539</v>
      </c>
      <c r="H216" s="11">
        <v>7.5370821147750551</v>
      </c>
      <c r="I216" s="11">
        <v>30.5511677728549</v>
      </c>
      <c r="J216" s="11">
        <v>44.946800634584875</v>
      </c>
      <c r="K216" s="11">
        <v>102.58653822274835</v>
      </c>
      <c r="L216" s="11">
        <v>106.03050880818816</v>
      </c>
      <c r="M216" s="5"/>
    </row>
    <row r="217" spans="1:13" x14ac:dyDescent="0.25">
      <c r="A217" s="30">
        <v>3329</v>
      </c>
      <c r="B217" t="s">
        <v>59</v>
      </c>
      <c r="C217" t="s">
        <v>294</v>
      </c>
      <c r="D217" s="8">
        <v>2.08</v>
      </c>
      <c r="E217" s="8">
        <v>14.23</v>
      </c>
      <c r="F217" s="11">
        <v>22.752314202215601</v>
      </c>
      <c r="G217" s="11">
        <v>69.291753102439557</v>
      </c>
      <c r="H217" s="11">
        <v>7.9559326953448473</v>
      </c>
      <c r="I217" s="11">
        <v>31.574549134883441</v>
      </c>
      <c r="J217" s="11">
        <v>44.317318472462354</v>
      </c>
      <c r="K217" s="11">
        <v>102.72088960591329</v>
      </c>
      <c r="L217" s="11">
        <v>107.20445936987434</v>
      </c>
      <c r="M217" s="5"/>
    </row>
    <row r="218" spans="1:13" x14ac:dyDescent="0.25">
      <c r="A218" s="30">
        <v>3371</v>
      </c>
      <c r="B218" t="s">
        <v>59</v>
      </c>
      <c r="C218" t="s">
        <v>295</v>
      </c>
      <c r="D218" s="8">
        <v>1.78</v>
      </c>
      <c r="E218" s="8">
        <v>9.84</v>
      </c>
      <c r="F218" s="11">
        <v>17.933654996216529</v>
      </c>
      <c r="G218" s="11">
        <v>70.039787474675151</v>
      </c>
      <c r="H218" s="11">
        <v>12.026557529108322</v>
      </c>
      <c r="I218" s="11">
        <v>29.712862989512058</v>
      </c>
      <c r="J218" s="11">
        <v>42.775990055877607</v>
      </c>
      <c r="K218" s="11">
        <v>98.550888529886919</v>
      </c>
      <c r="L218" s="11">
        <v>107.60659465605458</v>
      </c>
      <c r="M218" s="5"/>
    </row>
    <row r="219" spans="1:13" x14ac:dyDescent="0.25">
      <c r="A219" s="30">
        <v>3372</v>
      </c>
      <c r="B219" t="s">
        <v>59</v>
      </c>
      <c r="C219" t="s">
        <v>296</v>
      </c>
      <c r="D219" s="8">
        <v>1.77</v>
      </c>
      <c r="E219" s="8">
        <v>9.85</v>
      </c>
      <c r="F219" s="11">
        <v>19.220289603483998</v>
      </c>
      <c r="G219" s="11">
        <v>69.781080295717075</v>
      </c>
      <c r="H219" s="11">
        <v>10.998630100798918</v>
      </c>
      <c r="I219" s="11">
        <v>29.203948932573031</v>
      </c>
      <c r="J219" s="11">
        <v>43.305319402081032</v>
      </c>
      <c r="K219" s="11">
        <v>96.853119579227325</v>
      </c>
      <c r="L219" s="11">
        <v>102.80016248018136</v>
      </c>
      <c r="M219" s="5"/>
    </row>
    <row r="220" spans="1:13" x14ac:dyDescent="0.25">
      <c r="A220" s="30">
        <v>3373</v>
      </c>
      <c r="B220" t="s">
        <v>59</v>
      </c>
      <c r="C220" t="s">
        <v>297</v>
      </c>
      <c r="D220" s="8">
        <v>2.04</v>
      </c>
      <c r="E220" s="8">
        <v>9.3699999999999992</v>
      </c>
      <c r="F220" s="11">
        <v>20.752984389348025</v>
      </c>
      <c r="G220" s="11">
        <v>69.397680508791609</v>
      </c>
      <c r="H220" s="11">
        <v>9.8493351018603548</v>
      </c>
      <c r="I220" s="11">
        <v>29.661210469291277</v>
      </c>
      <c r="J220" s="11">
        <v>44.097035040431265</v>
      </c>
      <c r="K220" s="11">
        <v>97.418853591160229</v>
      </c>
      <c r="L220" s="11">
        <v>100.54201432231784</v>
      </c>
      <c r="M220" s="5"/>
    </row>
    <row r="221" spans="1:13" x14ac:dyDescent="0.25">
      <c r="A221" s="30">
        <v>3374</v>
      </c>
      <c r="B221" t="s">
        <v>59</v>
      </c>
      <c r="C221" t="s">
        <v>298</v>
      </c>
      <c r="D221" s="8">
        <v>1.77</v>
      </c>
      <c r="E221" s="8">
        <v>9.2899999999999991</v>
      </c>
      <c r="F221" s="11">
        <v>20.279135213249415</v>
      </c>
      <c r="G221" s="11">
        <v>70.766457908744613</v>
      </c>
      <c r="H221" s="11">
        <v>8.9544068780059725</v>
      </c>
      <c r="I221" s="11">
        <v>29.865232154597255</v>
      </c>
      <c r="J221" s="11">
        <v>41.309884591020349</v>
      </c>
      <c r="K221" s="11">
        <v>97.73170059222565</v>
      </c>
      <c r="L221" s="11">
        <v>101.64329842361619</v>
      </c>
      <c r="M221" s="5"/>
    </row>
    <row r="222" spans="1:13" x14ac:dyDescent="0.25">
      <c r="A222" s="30">
        <v>3375</v>
      </c>
      <c r="B222" t="s">
        <v>59</v>
      </c>
      <c r="C222" t="s">
        <v>299</v>
      </c>
      <c r="D222" s="8">
        <v>2.19</v>
      </c>
      <c r="E222" s="8">
        <v>11.99</v>
      </c>
      <c r="F222" s="11">
        <v>22.80188699383098</v>
      </c>
      <c r="G222" s="11">
        <v>69.445215275257752</v>
      </c>
      <c r="H222" s="11">
        <v>7.7528977309112639</v>
      </c>
      <c r="I222" s="11">
        <v>30.860033726812819</v>
      </c>
      <c r="J222" s="11">
        <v>43.998401622967449</v>
      </c>
      <c r="K222" s="11">
        <v>101.93791527855606</v>
      </c>
      <c r="L222" s="11">
        <v>108.32698602219158</v>
      </c>
      <c r="M222" s="5"/>
    </row>
    <row r="223" spans="1:13" x14ac:dyDescent="0.25">
      <c r="A223" s="30">
        <v>3376</v>
      </c>
      <c r="B223" t="s">
        <v>59</v>
      </c>
      <c r="C223" t="s">
        <v>300</v>
      </c>
      <c r="D223" s="8">
        <v>2.1800000000000002</v>
      </c>
      <c r="E223" s="8">
        <v>10.56</v>
      </c>
      <c r="F223" s="11">
        <v>22.536143194588721</v>
      </c>
      <c r="G223" s="11">
        <v>69.341451624515315</v>
      </c>
      <c r="H223" s="11">
        <v>8.1224051808959601</v>
      </c>
      <c r="I223" s="11">
        <v>29.847747757013508</v>
      </c>
      <c r="J223" s="11">
        <v>44.213883120735687</v>
      </c>
      <c r="K223" s="11">
        <v>101.47886691579231</v>
      </c>
      <c r="L223" s="11">
        <v>106.37652301711469</v>
      </c>
      <c r="M223" s="5"/>
    </row>
    <row r="224" spans="1:13" x14ac:dyDescent="0.25">
      <c r="A224" s="31">
        <v>3401</v>
      </c>
      <c r="B224" t="s">
        <v>301</v>
      </c>
      <c r="C224" t="s">
        <v>302</v>
      </c>
      <c r="D224" s="8">
        <v>1.95</v>
      </c>
      <c r="E224" s="8">
        <v>9.5500000000000007</v>
      </c>
      <c r="F224" s="11">
        <v>19.426875579809611</v>
      </c>
      <c r="G224" s="11">
        <v>66.624323416410647</v>
      </c>
      <c r="H224" s="11">
        <v>13.948801003779746</v>
      </c>
      <c r="I224" s="11">
        <v>27.532530517173488</v>
      </c>
      <c r="J224" s="11">
        <v>50.095332863625586</v>
      </c>
      <c r="K224" s="11">
        <v>98.073906299573437</v>
      </c>
      <c r="L224" s="11">
        <v>103.87624993822382</v>
      </c>
      <c r="M224" s="5"/>
    </row>
    <row r="225" spans="1:13" x14ac:dyDescent="0.25">
      <c r="A225" s="31">
        <v>3402</v>
      </c>
      <c r="B225" t="s">
        <v>301</v>
      </c>
      <c r="C225" t="s">
        <v>303</v>
      </c>
      <c r="D225" s="8">
        <v>1.82</v>
      </c>
      <c r="E225" s="8">
        <v>10.52</v>
      </c>
      <c r="F225" s="11">
        <v>19.857953583333739</v>
      </c>
      <c r="G225" s="11">
        <v>68.663283226814656</v>
      </c>
      <c r="H225" s="11">
        <v>11.478763189851616</v>
      </c>
      <c r="I225" s="11">
        <v>28.350452119810544</v>
      </c>
      <c r="J225" s="11">
        <v>45.63824405202287</v>
      </c>
      <c r="K225" s="11">
        <v>98.736772067067037</v>
      </c>
      <c r="L225" s="11">
        <v>101.49647887323943</v>
      </c>
      <c r="M225" s="5"/>
    </row>
    <row r="226" spans="1:13" x14ac:dyDescent="0.25">
      <c r="A226" s="31">
        <v>3403</v>
      </c>
      <c r="B226" t="s">
        <v>301</v>
      </c>
      <c r="C226" t="s">
        <v>304</v>
      </c>
      <c r="D226" s="8">
        <v>1.91</v>
      </c>
      <c r="E226" s="8">
        <v>10.31</v>
      </c>
      <c r="F226" s="11">
        <v>18.356859437495359</v>
      </c>
      <c r="G226" s="11">
        <v>65.909295861315343</v>
      </c>
      <c r="H226" s="11">
        <v>15.7338447011893</v>
      </c>
      <c r="I226" s="11">
        <v>26.507712955005996</v>
      </c>
      <c r="J226" s="11">
        <v>51.723666128094358</v>
      </c>
      <c r="K226" s="11">
        <v>97.634330255464036</v>
      </c>
      <c r="L226" s="11">
        <v>105.66210515485133</v>
      </c>
      <c r="M226" s="5"/>
    </row>
    <row r="227" spans="1:13" x14ac:dyDescent="0.25">
      <c r="A227" s="31">
        <v>3404</v>
      </c>
      <c r="B227" t="s">
        <v>301</v>
      </c>
      <c r="C227" t="s">
        <v>305</v>
      </c>
      <c r="D227" s="8">
        <v>1.8</v>
      </c>
      <c r="E227" s="8">
        <v>10.210000000000001</v>
      </c>
      <c r="F227" s="11">
        <v>19.713386340222211</v>
      </c>
      <c r="G227" s="11">
        <v>69.317011110606913</v>
      </c>
      <c r="H227" s="11">
        <v>10.969602549170864</v>
      </c>
      <c r="I227" s="11">
        <v>29.389916590618419</v>
      </c>
      <c r="J227" s="11">
        <v>44.264731554038327</v>
      </c>
      <c r="K227" s="11">
        <v>97.868402981575485</v>
      </c>
      <c r="L227" s="11">
        <v>101.75362695047734</v>
      </c>
      <c r="M227" s="5"/>
    </row>
    <row r="228" spans="1:13" x14ac:dyDescent="0.25">
      <c r="A228" s="31">
        <v>3471</v>
      </c>
      <c r="B228" t="s">
        <v>301</v>
      </c>
      <c r="C228" t="s">
        <v>306</v>
      </c>
      <c r="D228" s="8">
        <v>1.65</v>
      </c>
      <c r="E228" s="8">
        <v>8.59</v>
      </c>
      <c r="F228" s="11">
        <v>18.181866581483256</v>
      </c>
      <c r="G228" s="11">
        <v>69.814193685779685</v>
      </c>
      <c r="H228" s="11">
        <v>12.003939732737051</v>
      </c>
      <c r="I228" s="11">
        <v>30.196188042378747</v>
      </c>
      <c r="J228" s="11">
        <v>43.23734862581216</v>
      </c>
      <c r="K228" s="11">
        <v>94.522548273344427</v>
      </c>
      <c r="L228" s="11">
        <v>100.00176313979937</v>
      </c>
      <c r="M228" s="5"/>
    </row>
    <row r="229" spans="1:13" x14ac:dyDescent="0.25">
      <c r="A229" s="32">
        <v>3501</v>
      </c>
      <c r="B229" t="s">
        <v>60</v>
      </c>
      <c r="C229" t="s">
        <v>307</v>
      </c>
      <c r="D229" s="8">
        <v>1.79</v>
      </c>
      <c r="E229" s="8">
        <v>12.9</v>
      </c>
      <c r="F229" s="11">
        <v>17.581873126135772</v>
      </c>
      <c r="G229" s="11">
        <v>67.46844442332916</v>
      </c>
      <c r="H229" s="11">
        <v>14.949682450535073</v>
      </c>
      <c r="I229" s="11">
        <v>27.317228776446196</v>
      </c>
      <c r="J229" s="11">
        <v>48.217438322058193</v>
      </c>
      <c r="K229" s="11">
        <v>100.94752956980999</v>
      </c>
      <c r="L229" s="11">
        <v>108.45763414128859</v>
      </c>
      <c r="M229" s="5"/>
    </row>
    <row r="230" spans="1:13" x14ac:dyDescent="0.25">
      <c r="A230" s="32">
        <v>3502</v>
      </c>
      <c r="B230" t="s">
        <v>60</v>
      </c>
      <c r="C230" t="s">
        <v>308</v>
      </c>
      <c r="D230" s="8">
        <v>1.89</v>
      </c>
      <c r="E230" s="8">
        <v>11.23</v>
      </c>
      <c r="F230" s="11">
        <v>18.475552996200186</v>
      </c>
      <c r="G230" s="11">
        <v>67.415690912430819</v>
      </c>
      <c r="H230" s="11">
        <v>14.108756091368987</v>
      </c>
      <c r="I230" s="11">
        <v>26.874779410398826</v>
      </c>
      <c r="J230" s="11">
        <v>48.333420078560557</v>
      </c>
      <c r="K230" s="11">
        <v>98.997408294279765</v>
      </c>
      <c r="L230" s="11">
        <v>105.4685897334743</v>
      </c>
      <c r="M230" s="5"/>
    </row>
    <row r="231" spans="1:13" x14ac:dyDescent="0.25">
      <c r="A231" s="32">
        <v>3503</v>
      </c>
      <c r="B231" t="s">
        <v>60</v>
      </c>
      <c r="C231" t="s">
        <v>309</v>
      </c>
      <c r="D231" s="8">
        <v>1.89</v>
      </c>
      <c r="E231" s="8">
        <v>11.07</v>
      </c>
      <c r="F231" s="11">
        <v>18.933050490621952</v>
      </c>
      <c r="G231" s="11">
        <v>68.036419552390754</v>
      </c>
      <c r="H231" s="11">
        <v>13.0305299569873</v>
      </c>
      <c r="I231" s="11">
        <v>27.326923179422124</v>
      </c>
      <c r="J231" s="11">
        <v>46.980103682551992</v>
      </c>
      <c r="K231" s="11">
        <v>100.15362048273101</v>
      </c>
      <c r="L231" s="11">
        <v>102.86468894977891</v>
      </c>
      <c r="M231" s="5"/>
    </row>
    <row r="232" spans="1:13" x14ac:dyDescent="0.25">
      <c r="A232" s="32">
        <v>3504</v>
      </c>
      <c r="B232" t="s">
        <v>60</v>
      </c>
      <c r="C232" t="s">
        <v>310</v>
      </c>
      <c r="D232" s="8">
        <v>1.95</v>
      </c>
      <c r="E232" s="8">
        <v>11.26</v>
      </c>
      <c r="F232" s="11">
        <v>19.247470011244395</v>
      </c>
      <c r="G232" s="11">
        <v>69.209825734107838</v>
      </c>
      <c r="H232" s="11">
        <v>11.542704254647756</v>
      </c>
      <c r="I232" s="11">
        <v>27.415878151652663</v>
      </c>
      <c r="J232" s="11">
        <v>44.488154592647959</v>
      </c>
      <c r="K232" s="11">
        <v>100.02293586137495</v>
      </c>
      <c r="L232" s="11">
        <v>104.13390517035978</v>
      </c>
      <c r="M232" s="5"/>
    </row>
    <row r="233" spans="1:13" x14ac:dyDescent="0.25">
      <c r="A233" s="32">
        <v>3505</v>
      </c>
      <c r="B233" t="s">
        <v>60</v>
      </c>
      <c r="C233" t="s">
        <v>311</v>
      </c>
      <c r="D233" s="8">
        <v>1.98</v>
      </c>
      <c r="E233" s="8">
        <v>11.16</v>
      </c>
      <c r="F233" s="11">
        <v>19.829068489520409</v>
      </c>
      <c r="G233" s="11">
        <v>68.668713999547919</v>
      </c>
      <c r="H233" s="11">
        <v>11.502217510931665</v>
      </c>
      <c r="I233" s="11">
        <v>28.039315026851757</v>
      </c>
      <c r="J233" s="11">
        <v>45.626726023525563</v>
      </c>
      <c r="K233" s="11">
        <v>100.78563324073713</v>
      </c>
      <c r="L233" s="11">
        <v>105.18939761235234</v>
      </c>
      <c r="M233" s="5"/>
    </row>
    <row r="234" spans="1:13" x14ac:dyDescent="0.25">
      <c r="A234" s="32">
        <v>3506</v>
      </c>
      <c r="B234" t="s">
        <v>60</v>
      </c>
      <c r="C234" t="s">
        <v>312</v>
      </c>
      <c r="D234" s="8">
        <v>2.09</v>
      </c>
      <c r="E234" s="8">
        <v>11.84</v>
      </c>
      <c r="F234" s="11">
        <v>20.821551642164053</v>
      </c>
      <c r="G234" s="11">
        <v>68.743725100938008</v>
      </c>
      <c r="H234" s="11">
        <v>10.434723256897941</v>
      </c>
      <c r="I234" s="11">
        <v>28.523700377616933</v>
      </c>
      <c r="J234" s="11">
        <v>45.467822485859884</v>
      </c>
      <c r="K234" s="11">
        <v>101.72460865328716</v>
      </c>
      <c r="L234" s="11">
        <v>107.03007566551355</v>
      </c>
      <c r="M234" s="5"/>
    </row>
    <row r="235" spans="1:13" x14ac:dyDescent="0.25">
      <c r="A235" s="32">
        <v>3507</v>
      </c>
      <c r="B235" t="s">
        <v>60</v>
      </c>
      <c r="C235" t="s">
        <v>313</v>
      </c>
      <c r="D235" s="8">
        <v>2.08</v>
      </c>
      <c r="E235" s="8">
        <v>11.11</v>
      </c>
      <c r="F235" s="11">
        <v>20.639494852563192</v>
      </c>
      <c r="G235" s="11">
        <v>68.991911325226155</v>
      </c>
      <c r="H235" s="11">
        <v>10.368593822210654</v>
      </c>
      <c r="I235" s="11">
        <v>28.597852488931153</v>
      </c>
      <c r="J235" s="11">
        <v>44.944527668761758</v>
      </c>
      <c r="K235" s="11">
        <v>100.73520845258159</v>
      </c>
      <c r="L235" s="11">
        <v>105.45502575617488</v>
      </c>
      <c r="M235" s="5"/>
    </row>
    <row r="236" spans="1:13" x14ac:dyDescent="0.25">
      <c r="A236" s="32">
        <v>3508</v>
      </c>
      <c r="B236" t="s">
        <v>60</v>
      </c>
      <c r="C236" t="s">
        <v>314</v>
      </c>
      <c r="D236" s="8">
        <v>1.93</v>
      </c>
      <c r="E236" s="8">
        <v>13.21</v>
      </c>
      <c r="F236" s="11">
        <v>20.032252300005094</v>
      </c>
      <c r="G236" s="11">
        <v>68.392832323434632</v>
      </c>
      <c r="H236" s="11">
        <v>11.574915376560279</v>
      </c>
      <c r="I236" s="11">
        <v>29.141973139773491</v>
      </c>
      <c r="J236" s="11">
        <v>46.214152277087749</v>
      </c>
      <c r="K236" s="11">
        <v>97.638810925724655</v>
      </c>
      <c r="L236" s="11">
        <v>103.57799769628329</v>
      </c>
      <c r="M236" s="5"/>
    </row>
    <row r="237" spans="1:13" x14ac:dyDescent="0.25">
      <c r="A237" s="32">
        <v>3509</v>
      </c>
      <c r="B237" t="s">
        <v>60</v>
      </c>
      <c r="C237" t="s">
        <v>315</v>
      </c>
      <c r="D237" s="8">
        <v>2</v>
      </c>
      <c r="E237" s="8">
        <v>14.16</v>
      </c>
      <c r="F237" s="11">
        <v>20.207327210567673</v>
      </c>
      <c r="G237" s="11">
        <v>69.227164925787363</v>
      </c>
      <c r="H237" s="11">
        <v>10.565507863644969</v>
      </c>
      <c r="I237" s="11">
        <v>29.888490391871418</v>
      </c>
      <c r="J237" s="11">
        <v>44.451964929087616</v>
      </c>
      <c r="K237" s="11">
        <v>99.103266042405068</v>
      </c>
      <c r="L237" s="11">
        <v>103.73654850297542</v>
      </c>
      <c r="M237" s="5"/>
    </row>
    <row r="238" spans="1:13" x14ac:dyDescent="0.25">
      <c r="A238" s="32">
        <v>3510</v>
      </c>
      <c r="B238" t="s">
        <v>60</v>
      </c>
      <c r="C238" t="s">
        <v>316</v>
      </c>
      <c r="D238" s="8">
        <v>2.02</v>
      </c>
      <c r="E238" s="8">
        <v>14.78</v>
      </c>
      <c r="F238" s="11">
        <v>20.314733239851932</v>
      </c>
      <c r="G238" s="11">
        <v>68.507851986780338</v>
      </c>
      <c r="H238" s="11">
        <v>11.177414773367721</v>
      </c>
      <c r="I238" s="11">
        <v>28.283891140758644</v>
      </c>
      <c r="J238" s="11">
        <v>45.968669429741496</v>
      </c>
      <c r="K238" s="11">
        <v>99.72534399538938</v>
      </c>
      <c r="L238" s="11">
        <v>105.05812409340716</v>
      </c>
      <c r="M238" s="5"/>
    </row>
    <row r="239" spans="1:13" x14ac:dyDescent="0.25">
      <c r="A239" s="32">
        <v>3511</v>
      </c>
      <c r="B239" t="s">
        <v>60</v>
      </c>
      <c r="C239" t="s">
        <v>317</v>
      </c>
      <c r="D239" s="8">
        <v>2</v>
      </c>
      <c r="E239" s="8">
        <v>16.739999999999998</v>
      </c>
      <c r="F239" s="11">
        <v>20.242160043592808</v>
      </c>
      <c r="G239" s="11">
        <v>67.719451290537052</v>
      </c>
      <c r="H239" s="11">
        <v>12.038388665870132</v>
      </c>
      <c r="I239" s="11">
        <v>28.701014332635115</v>
      </c>
      <c r="J239" s="11">
        <v>47.668060054074509</v>
      </c>
      <c r="K239" s="11">
        <v>97.268771341576169</v>
      </c>
      <c r="L239" s="11">
        <v>100</v>
      </c>
      <c r="M239" s="5"/>
    </row>
    <row r="240" spans="1:13" x14ac:dyDescent="0.25">
      <c r="A240" s="32">
        <v>3512</v>
      </c>
      <c r="B240" t="s">
        <v>60</v>
      </c>
      <c r="C240" t="s">
        <v>318</v>
      </c>
      <c r="D240" s="8">
        <v>1.99</v>
      </c>
      <c r="E240" s="8">
        <v>16.440000000000001</v>
      </c>
      <c r="F240" s="11">
        <v>19.246097923603532</v>
      </c>
      <c r="G240" s="11">
        <v>68.65873720271577</v>
      </c>
      <c r="H240" s="11">
        <v>12.0951648736807</v>
      </c>
      <c r="I240" s="11">
        <v>28.449966929160563</v>
      </c>
      <c r="J240" s="11">
        <v>45.647887034025644</v>
      </c>
      <c r="K240" s="11">
        <v>96.589826157261413</v>
      </c>
      <c r="L240" s="11">
        <v>100.35432052073172</v>
      </c>
      <c r="M240" s="5"/>
    </row>
    <row r="241" spans="1:13" x14ac:dyDescent="0.25">
      <c r="A241" s="32">
        <v>3513</v>
      </c>
      <c r="B241" t="s">
        <v>60</v>
      </c>
      <c r="C241" t="s">
        <v>319</v>
      </c>
      <c r="D241" s="8">
        <v>2.02</v>
      </c>
      <c r="E241" s="8">
        <v>15.07</v>
      </c>
      <c r="F241" s="11">
        <v>21.621907424014204</v>
      </c>
      <c r="G241" s="11">
        <v>68.39275558897269</v>
      </c>
      <c r="H241" s="11">
        <v>9.9853369870131168</v>
      </c>
      <c r="I241" s="11">
        <v>29.089136297743263</v>
      </c>
      <c r="J241" s="11">
        <v>46.214316324642311</v>
      </c>
      <c r="K241" s="11">
        <v>97.374921319951284</v>
      </c>
      <c r="L241" s="11">
        <v>100.640362968068</v>
      </c>
      <c r="M241" s="5"/>
    </row>
    <row r="242" spans="1:13" x14ac:dyDescent="0.25">
      <c r="A242" s="32">
        <v>3514</v>
      </c>
      <c r="B242" t="s">
        <v>60</v>
      </c>
      <c r="C242" t="s">
        <v>320</v>
      </c>
      <c r="D242" s="8">
        <v>1.9</v>
      </c>
      <c r="E242" s="8">
        <v>13.48</v>
      </c>
      <c r="F242" s="11">
        <v>21.212512388297121</v>
      </c>
      <c r="G242" s="11">
        <v>69.93448033398731</v>
      </c>
      <c r="H242" s="11">
        <v>8.8530072777155802</v>
      </c>
      <c r="I242" s="11">
        <v>30.039999476508932</v>
      </c>
      <c r="J242" s="11">
        <v>42.990981733800382</v>
      </c>
      <c r="K242" s="11">
        <v>99.928640324638948</v>
      </c>
      <c r="L242" s="11">
        <v>104.78901798568445</v>
      </c>
      <c r="M242" s="5"/>
    </row>
    <row r="243" spans="1:13" x14ac:dyDescent="0.25">
      <c r="A243" s="32">
        <v>3515</v>
      </c>
      <c r="B243" t="s">
        <v>60</v>
      </c>
      <c r="C243" t="s">
        <v>321</v>
      </c>
      <c r="D243" s="8">
        <v>1.82</v>
      </c>
      <c r="E243" s="8">
        <v>10.48</v>
      </c>
      <c r="F243" s="11">
        <v>20.502300378099822</v>
      </c>
      <c r="G243" s="11">
        <v>71.568301728714275</v>
      </c>
      <c r="H243" s="11">
        <v>7.9293978931858966</v>
      </c>
      <c r="I243" s="11">
        <v>29.938725799986276</v>
      </c>
      <c r="J243" s="11">
        <v>39.726663319549601</v>
      </c>
      <c r="K243" s="11">
        <v>100.68159459072619</v>
      </c>
      <c r="L243" s="11">
        <v>104.28102813669476</v>
      </c>
      <c r="M243" s="5"/>
    </row>
    <row r="244" spans="1:13" x14ac:dyDescent="0.25">
      <c r="A244" s="32">
        <v>3516</v>
      </c>
      <c r="B244" t="s">
        <v>60</v>
      </c>
      <c r="C244" t="s">
        <v>322</v>
      </c>
      <c r="D244" s="8">
        <v>1.93</v>
      </c>
      <c r="E244" s="8">
        <v>12.06</v>
      </c>
      <c r="F244" s="11">
        <v>21.417882401175305</v>
      </c>
      <c r="G244" s="11">
        <v>69.351532337968507</v>
      </c>
      <c r="H244" s="11">
        <v>9.2305852608561967</v>
      </c>
      <c r="I244" s="11">
        <v>28.957856435136154</v>
      </c>
      <c r="J244" s="11">
        <v>44.192920659162006</v>
      </c>
      <c r="K244" s="11">
        <v>100.92709708089703</v>
      </c>
      <c r="L244" s="11">
        <v>104.16425784072842</v>
      </c>
      <c r="M244" s="5"/>
    </row>
    <row r="245" spans="1:13" x14ac:dyDescent="0.25">
      <c r="A245" s="32">
        <v>3517</v>
      </c>
      <c r="B245" t="s">
        <v>60</v>
      </c>
      <c r="C245" t="s">
        <v>323</v>
      </c>
      <c r="D245" s="8">
        <v>2.08</v>
      </c>
      <c r="E245" s="8">
        <v>13.03</v>
      </c>
      <c r="F245" s="11">
        <v>21.474104333808093</v>
      </c>
      <c r="G245" s="11">
        <v>69.046177980522273</v>
      </c>
      <c r="H245" s="11">
        <v>9.4797176856696286</v>
      </c>
      <c r="I245" s="11">
        <v>29.123126836328755</v>
      </c>
      <c r="J245" s="11">
        <v>44.830608912501582</v>
      </c>
      <c r="K245" s="11">
        <v>101.45853279516228</v>
      </c>
      <c r="L245" s="11">
        <v>106.47972716938234</v>
      </c>
      <c r="M245" s="5"/>
    </row>
    <row r="246" spans="1:13" x14ac:dyDescent="0.25">
      <c r="A246" s="32">
        <v>3518</v>
      </c>
      <c r="B246" t="s">
        <v>60</v>
      </c>
      <c r="C246" t="s">
        <v>324</v>
      </c>
      <c r="D246" s="8">
        <v>2</v>
      </c>
      <c r="E246" s="8">
        <v>13.11</v>
      </c>
      <c r="F246" s="11">
        <v>20.32135387785933</v>
      </c>
      <c r="G246" s="11">
        <v>68.711222498264419</v>
      </c>
      <c r="H246" s="11">
        <v>10.967423623876243</v>
      </c>
      <c r="I246" s="11">
        <v>28.00406931812724</v>
      </c>
      <c r="J246" s="11">
        <v>45.536633411704898</v>
      </c>
      <c r="K246" s="11">
        <v>100.80644878462786</v>
      </c>
      <c r="L246" s="11">
        <v>105.40724039865748</v>
      </c>
      <c r="M246" s="5"/>
    </row>
    <row r="247" spans="1:13" x14ac:dyDescent="0.25">
      <c r="A247" s="32">
        <v>3519</v>
      </c>
      <c r="B247" t="s">
        <v>60</v>
      </c>
      <c r="C247" t="s">
        <v>325</v>
      </c>
      <c r="D247" s="8">
        <v>2</v>
      </c>
      <c r="E247" s="8">
        <v>12.89</v>
      </c>
      <c r="F247" s="11">
        <v>18.918657079866147</v>
      </c>
      <c r="G247" s="11">
        <v>67.556570327351182</v>
      </c>
      <c r="H247" s="11">
        <v>13.52477259278267</v>
      </c>
      <c r="I247" s="11">
        <v>25.959116450300328</v>
      </c>
      <c r="J247" s="11">
        <v>48.024092276208492</v>
      </c>
      <c r="K247" s="11">
        <v>97.65810386632819</v>
      </c>
      <c r="L247" s="11">
        <v>104.25122066791653</v>
      </c>
      <c r="M247" s="5"/>
    </row>
    <row r="248" spans="1:13" x14ac:dyDescent="0.25">
      <c r="A248" s="32">
        <v>3520</v>
      </c>
      <c r="B248" t="s">
        <v>60</v>
      </c>
      <c r="C248" t="s">
        <v>326</v>
      </c>
      <c r="D248" s="8">
        <v>1.96</v>
      </c>
      <c r="E248" s="8">
        <v>11.04</v>
      </c>
      <c r="F248" s="11">
        <v>19.363294528605557</v>
      </c>
      <c r="G248" s="11">
        <v>66.134226347279451</v>
      </c>
      <c r="H248" s="11">
        <v>14.502479124114986</v>
      </c>
      <c r="I248" s="11">
        <v>26.385097829774029</v>
      </c>
      <c r="J248" s="11">
        <v>51.207635627106221</v>
      </c>
      <c r="K248" s="11">
        <v>96.656930121124901</v>
      </c>
      <c r="L248" s="11">
        <v>103.21963801307422</v>
      </c>
      <c r="M248" s="5"/>
    </row>
    <row r="249" spans="1:13" x14ac:dyDescent="0.25">
      <c r="A249" s="32">
        <v>3521</v>
      </c>
      <c r="B249" t="s">
        <v>60</v>
      </c>
      <c r="C249" t="s">
        <v>327</v>
      </c>
      <c r="D249" s="8">
        <v>1.87</v>
      </c>
      <c r="E249" s="8">
        <v>11.54</v>
      </c>
      <c r="F249" s="11">
        <v>18.972278277909364</v>
      </c>
      <c r="G249" s="11">
        <v>67.388549059088433</v>
      </c>
      <c r="H249" s="11">
        <v>13.639172663002197</v>
      </c>
      <c r="I249" s="11">
        <v>27.02553292853387</v>
      </c>
      <c r="J249" s="11">
        <v>48.393163818257605</v>
      </c>
      <c r="K249" s="11">
        <v>97.8305036521337</v>
      </c>
      <c r="L249" s="11">
        <v>102.09723225838975</v>
      </c>
      <c r="M249" s="5"/>
    </row>
    <row r="250" spans="1:13" x14ac:dyDescent="0.25">
      <c r="A250" s="32">
        <v>3522</v>
      </c>
      <c r="B250" t="s">
        <v>60</v>
      </c>
      <c r="C250" t="s">
        <v>328</v>
      </c>
      <c r="D250" s="8">
        <v>1.77</v>
      </c>
      <c r="E250" s="8">
        <v>12.5</v>
      </c>
      <c r="F250" s="11">
        <v>19.252700541006885</v>
      </c>
      <c r="G250" s="11">
        <v>69.300854946648215</v>
      </c>
      <c r="H250" s="11">
        <v>11.446444512344902</v>
      </c>
      <c r="I250" s="11">
        <v>27.890237911222147</v>
      </c>
      <c r="J250" s="11">
        <v>44.298364106742625</v>
      </c>
      <c r="K250" s="11">
        <v>100.39800815826678</v>
      </c>
      <c r="L250" s="11">
        <v>103.16131143963779</v>
      </c>
      <c r="M250" s="5"/>
    </row>
    <row r="251" spans="1:13" x14ac:dyDescent="0.25">
      <c r="A251" s="32">
        <v>3523</v>
      </c>
      <c r="B251" t="s">
        <v>60</v>
      </c>
      <c r="C251" t="s">
        <v>329</v>
      </c>
      <c r="D251" s="8">
        <v>1.81</v>
      </c>
      <c r="E251" s="8">
        <v>11.98</v>
      </c>
      <c r="F251" s="11">
        <v>19.317219146899816</v>
      </c>
      <c r="G251" s="11">
        <v>69.541778757857159</v>
      </c>
      <c r="H251" s="11">
        <v>11.141002095243021</v>
      </c>
      <c r="I251" s="11">
        <v>28.647759900669961</v>
      </c>
      <c r="J251" s="11">
        <v>43.798450062943672</v>
      </c>
      <c r="K251" s="11">
        <v>99.49492831916919</v>
      </c>
      <c r="L251" s="11">
        <v>103.19471599020716</v>
      </c>
      <c r="M251" s="5"/>
    </row>
    <row r="252" spans="1:13" x14ac:dyDescent="0.25">
      <c r="A252" s="32">
        <v>3524</v>
      </c>
      <c r="B252" t="s">
        <v>60</v>
      </c>
      <c r="C252" t="s">
        <v>330</v>
      </c>
      <c r="D252" s="8">
        <v>1.88</v>
      </c>
      <c r="E252" s="8">
        <v>11.78</v>
      </c>
      <c r="F252" s="11">
        <v>19.624636535644967</v>
      </c>
      <c r="G252" s="11">
        <v>68.745938595144821</v>
      </c>
      <c r="H252" s="11">
        <v>11.629424869210212</v>
      </c>
      <c r="I252" s="11">
        <v>28.920215001628147</v>
      </c>
      <c r="J252" s="11">
        <v>45.46313868651216</v>
      </c>
      <c r="K252" s="11">
        <v>99.847486465140477</v>
      </c>
      <c r="L252" s="11">
        <v>104.65640369710536</v>
      </c>
      <c r="M252" s="5"/>
    </row>
    <row r="253" spans="1:13" x14ac:dyDescent="0.25">
      <c r="A253" s="32">
        <v>3525</v>
      </c>
      <c r="B253" t="s">
        <v>60</v>
      </c>
      <c r="C253" t="s">
        <v>331</v>
      </c>
      <c r="D253" s="8">
        <v>1.93</v>
      </c>
      <c r="E253" s="8">
        <v>13.57</v>
      </c>
      <c r="F253" s="11">
        <v>21.274561708910838</v>
      </c>
      <c r="G253" s="11">
        <v>70.47573969264235</v>
      </c>
      <c r="H253" s="11">
        <v>8.2496985984468107</v>
      </c>
      <c r="I253" s="11">
        <v>29.613457903050843</v>
      </c>
      <c r="J253" s="11">
        <v>41.892799474142983</v>
      </c>
      <c r="K253" s="11">
        <v>101.22835434389579</v>
      </c>
      <c r="L253" s="11">
        <v>103.32388356035838</v>
      </c>
      <c r="M253" s="5"/>
    </row>
    <row r="254" spans="1:13" x14ac:dyDescent="0.25">
      <c r="A254" s="32">
        <v>3526</v>
      </c>
      <c r="B254" t="s">
        <v>60</v>
      </c>
      <c r="C254" t="s">
        <v>332</v>
      </c>
      <c r="D254" s="8">
        <v>2.0699999999999998</v>
      </c>
      <c r="E254" s="8">
        <v>16.100000000000001</v>
      </c>
      <c r="F254" s="11">
        <v>21.735862967372206</v>
      </c>
      <c r="G254" s="11">
        <v>70.031725792276646</v>
      </c>
      <c r="H254" s="11">
        <v>8.2324112403511478</v>
      </c>
      <c r="I254" s="11">
        <v>33.354466053046096</v>
      </c>
      <c r="J254" s="11">
        <v>42.792425673777082</v>
      </c>
      <c r="K254" s="11">
        <v>97.77040508152524</v>
      </c>
      <c r="L254" s="11">
        <v>103.54445374224328</v>
      </c>
      <c r="M254" s="5"/>
    </row>
    <row r="255" spans="1:13" x14ac:dyDescent="0.25">
      <c r="A255" s="32">
        <v>3527</v>
      </c>
      <c r="B255" t="s">
        <v>60</v>
      </c>
      <c r="C255" t="s">
        <v>333</v>
      </c>
      <c r="D255" s="8">
        <v>2.25</v>
      </c>
      <c r="E255" s="8">
        <v>15.44</v>
      </c>
      <c r="F255" s="11">
        <v>24.390448253347021</v>
      </c>
      <c r="G255" s="11">
        <v>67.997835101782954</v>
      </c>
      <c r="H255" s="11">
        <v>7.6117166448700191</v>
      </c>
      <c r="I255" s="11">
        <v>32.860901437423081</v>
      </c>
      <c r="J255" s="11">
        <v>47.063505551778832</v>
      </c>
      <c r="K255" s="11">
        <v>98.773727210774965</v>
      </c>
      <c r="L255" s="11">
        <v>102.44135410610249</v>
      </c>
      <c r="M255" s="5"/>
    </row>
    <row r="256" spans="1:13" x14ac:dyDescent="0.25">
      <c r="A256" s="32">
        <v>3528</v>
      </c>
      <c r="B256" t="s">
        <v>60</v>
      </c>
      <c r="C256" t="s">
        <v>334</v>
      </c>
      <c r="D256" s="8">
        <v>2.12</v>
      </c>
      <c r="E256" s="8">
        <v>15.44</v>
      </c>
      <c r="F256" s="11">
        <v>22.892734116624116</v>
      </c>
      <c r="G256" s="11">
        <v>68.602120962751172</v>
      </c>
      <c r="H256" s="11">
        <v>8.5051449206247103</v>
      </c>
      <c r="I256" s="11">
        <v>30.465272063047738</v>
      </c>
      <c r="J256" s="11">
        <v>45.768087920046817</v>
      </c>
      <c r="K256" s="11">
        <v>96.952871072589389</v>
      </c>
      <c r="L256" s="11">
        <v>101.85249142092925</v>
      </c>
      <c r="M256" s="5"/>
    </row>
    <row r="257" spans="1:13" x14ac:dyDescent="0.25">
      <c r="A257" s="32">
        <v>3529</v>
      </c>
      <c r="B257" t="s">
        <v>60</v>
      </c>
      <c r="C257" t="s">
        <v>335</v>
      </c>
      <c r="D257" s="8">
        <v>2.1</v>
      </c>
      <c r="E257" s="8">
        <v>15.28</v>
      </c>
      <c r="F257" s="11">
        <v>19.521947225733697</v>
      </c>
      <c r="G257" s="11">
        <v>68.477901730735724</v>
      </c>
      <c r="H257" s="11">
        <v>12.000151043530574</v>
      </c>
      <c r="I257" s="11">
        <v>28.017974180138289</v>
      </c>
      <c r="J257" s="11">
        <v>46.032511909043855</v>
      </c>
      <c r="K257" s="11">
        <v>94.191230265931821</v>
      </c>
      <c r="L257" s="11">
        <v>98.916076672800173</v>
      </c>
      <c r="M257" s="5"/>
    </row>
    <row r="258" spans="1:13" x14ac:dyDescent="0.25">
      <c r="A258" s="32">
        <v>3571</v>
      </c>
      <c r="B258" t="s">
        <v>60</v>
      </c>
      <c r="C258" t="s">
        <v>336</v>
      </c>
      <c r="D258" s="8">
        <v>1.98</v>
      </c>
      <c r="E258" s="8">
        <v>10.1</v>
      </c>
      <c r="F258" s="11">
        <v>21.058827010906555</v>
      </c>
      <c r="G258" s="11">
        <v>69.404759164696557</v>
      </c>
      <c r="H258" s="11">
        <v>9.5364138243968846</v>
      </c>
      <c r="I258" s="11">
        <v>30.222372743145176</v>
      </c>
      <c r="J258" s="11">
        <v>44.082338449876822</v>
      </c>
      <c r="K258" s="11">
        <v>100.63132479252701</v>
      </c>
      <c r="L258" s="11">
        <v>107.64712526827066</v>
      </c>
      <c r="M258" s="5"/>
    </row>
    <row r="259" spans="1:13" x14ac:dyDescent="0.25">
      <c r="A259" s="32">
        <v>3572</v>
      </c>
      <c r="B259" t="s">
        <v>60</v>
      </c>
      <c r="C259" t="s">
        <v>337</v>
      </c>
      <c r="D259" s="8">
        <v>1.9</v>
      </c>
      <c r="E259" s="8">
        <v>11.62</v>
      </c>
      <c r="F259" s="11">
        <v>20.815666888487499</v>
      </c>
      <c r="G259" s="11">
        <v>69.318376271508697</v>
      </c>
      <c r="H259" s="11">
        <v>9.8659568400038022</v>
      </c>
      <c r="I259" s="11">
        <v>29.381119878315431</v>
      </c>
      <c r="J259" s="11">
        <v>44.261890394426459</v>
      </c>
      <c r="K259" s="11">
        <v>98.162614287149609</v>
      </c>
      <c r="L259" s="11">
        <v>99.719972428054461</v>
      </c>
      <c r="M259" s="5"/>
    </row>
    <row r="260" spans="1:13" x14ac:dyDescent="0.25">
      <c r="A260" s="32">
        <v>3573</v>
      </c>
      <c r="B260" t="s">
        <v>60</v>
      </c>
      <c r="C260" t="s">
        <v>338</v>
      </c>
      <c r="D260" s="8">
        <v>1.81</v>
      </c>
      <c r="E260" s="8">
        <v>10.77</v>
      </c>
      <c r="F260" s="11">
        <v>20.642971516203964</v>
      </c>
      <c r="G260" s="11">
        <v>69.528201889898739</v>
      </c>
      <c r="H260" s="11">
        <v>9.8288265938972952</v>
      </c>
      <c r="I260" s="11">
        <v>29.860400081188963</v>
      </c>
      <c r="J260" s="11">
        <v>43.82652978478405</v>
      </c>
      <c r="K260" s="11">
        <v>98.577653576242881</v>
      </c>
      <c r="L260" s="11">
        <v>103.27939325083673</v>
      </c>
      <c r="M260" s="5"/>
    </row>
    <row r="261" spans="1:13" x14ac:dyDescent="0.25">
      <c r="A261" s="32">
        <v>3574</v>
      </c>
      <c r="B261" t="s">
        <v>60</v>
      </c>
      <c r="C261" t="s">
        <v>339</v>
      </c>
      <c r="D261" s="8">
        <v>2.0299999999999998</v>
      </c>
      <c r="E261" s="8">
        <v>13.97</v>
      </c>
      <c r="F261" s="11">
        <v>22.8441012063527</v>
      </c>
      <c r="G261" s="11">
        <v>68.735391976242198</v>
      </c>
      <c r="H261" s="11">
        <v>8.420506817405105</v>
      </c>
      <c r="I261" s="11">
        <v>30.047256343073979</v>
      </c>
      <c r="J261" s="11">
        <v>45.485458254990597</v>
      </c>
      <c r="K261" s="11">
        <v>98.567116214129157</v>
      </c>
      <c r="L261" s="11">
        <v>102.13255113366102</v>
      </c>
      <c r="M261" s="5"/>
    </row>
    <row r="262" spans="1:13" x14ac:dyDescent="0.25">
      <c r="A262" s="32">
        <v>3575</v>
      </c>
      <c r="B262" t="s">
        <v>60</v>
      </c>
      <c r="C262" t="s">
        <v>340</v>
      </c>
      <c r="D262" s="8">
        <v>2.1</v>
      </c>
      <c r="E262" s="8">
        <v>12.29</v>
      </c>
      <c r="F262" s="11">
        <v>23.577957621738722</v>
      </c>
      <c r="G262" s="11">
        <v>68.621618862010948</v>
      </c>
      <c r="H262" s="11">
        <v>7.8004235162503281</v>
      </c>
      <c r="I262" s="11">
        <v>30.613477050657696</v>
      </c>
      <c r="J262" s="11">
        <v>45.72666990134239</v>
      </c>
      <c r="K262" s="11">
        <v>100.00621531631519</v>
      </c>
      <c r="L262" s="11">
        <v>105.27788527371773</v>
      </c>
      <c r="M262" s="5"/>
    </row>
    <row r="263" spans="1:13" x14ac:dyDescent="0.25">
      <c r="A263" s="32">
        <v>3576</v>
      </c>
      <c r="B263" t="s">
        <v>60</v>
      </c>
      <c r="C263" t="s">
        <v>341</v>
      </c>
      <c r="D263" s="8">
        <v>1.87</v>
      </c>
      <c r="E263" s="8">
        <v>10.039999999999999</v>
      </c>
      <c r="F263" s="11">
        <v>21.377944026835078</v>
      </c>
      <c r="G263" s="11">
        <v>69.319896722143952</v>
      </c>
      <c r="H263" s="11">
        <v>9.3021592510209778</v>
      </c>
      <c r="I263" s="11">
        <v>29.468519564859779</v>
      </c>
      <c r="J263" s="11">
        <v>44.258726179053042</v>
      </c>
      <c r="K263" s="11">
        <v>98.004616713636295</v>
      </c>
      <c r="L263" s="11">
        <v>103.20576050503058</v>
      </c>
      <c r="M263" s="5"/>
    </row>
    <row r="264" spans="1:13" x14ac:dyDescent="0.25">
      <c r="A264" s="32">
        <v>3577</v>
      </c>
      <c r="B264" t="s">
        <v>60</v>
      </c>
      <c r="C264" t="s">
        <v>342</v>
      </c>
      <c r="D264" s="8">
        <v>1.83</v>
      </c>
      <c r="E264" s="8">
        <v>10.39</v>
      </c>
      <c r="F264" s="11">
        <v>19.147557910732722</v>
      </c>
      <c r="G264" s="11">
        <v>69.048685928032882</v>
      </c>
      <c r="H264" s="11">
        <v>11.803756161234389</v>
      </c>
      <c r="I264" s="11">
        <v>29.065440589140639</v>
      </c>
      <c r="J264" s="11">
        <v>44.825348456633371</v>
      </c>
      <c r="K264" s="11">
        <v>95.887914667073744</v>
      </c>
      <c r="L264" s="11">
        <v>102.36698429923021</v>
      </c>
      <c r="M264" s="5"/>
    </row>
    <row r="265" spans="1:13" x14ac:dyDescent="0.25">
      <c r="A265" s="32">
        <v>3578</v>
      </c>
      <c r="B265" t="s">
        <v>60</v>
      </c>
      <c r="C265" t="s">
        <v>343</v>
      </c>
      <c r="D265" s="8">
        <v>1.7</v>
      </c>
      <c r="E265" s="8">
        <v>9.9499999999999993</v>
      </c>
      <c r="F265" s="11">
        <v>20.3443907266862</v>
      </c>
      <c r="G265" s="11">
        <v>70.513100009693005</v>
      </c>
      <c r="H265" s="11">
        <v>9.1425092636207967</v>
      </c>
      <c r="I265" s="11">
        <v>29.530297439176401</v>
      </c>
      <c r="J265" s="11">
        <v>41.817619685212556</v>
      </c>
      <c r="K265" s="11">
        <v>97.796915857106626</v>
      </c>
      <c r="L265" s="11">
        <v>101.53729025609124</v>
      </c>
      <c r="M265" s="5"/>
    </row>
    <row r="266" spans="1:13" x14ac:dyDescent="0.25">
      <c r="A266" s="32">
        <v>3579</v>
      </c>
      <c r="B266" t="s">
        <v>60</v>
      </c>
      <c r="C266" t="s">
        <v>344</v>
      </c>
      <c r="D266" s="8">
        <v>1.94</v>
      </c>
      <c r="E266" s="8">
        <v>11.08</v>
      </c>
      <c r="F266" s="11">
        <v>21.395099392479406</v>
      </c>
      <c r="G266" s="11">
        <v>69.185254217916153</v>
      </c>
      <c r="H266" s="11">
        <v>9.419646389604452</v>
      </c>
      <c r="I266" s="11">
        <v>29.867857676651337</v>
      </c>
      <c r="J266" s="11">
        <v>44.539470340059985</v>
      </c>
      <c r="K266" s="11">
        <v>101.11750612241291</v>
      </c>
      <c r="L266" s="11">
        <v>103.69348842786906</v>
      </c>
      <c r="M266" s="5"/>
    </row>
    <row r="267" spans="1:13" x14ac:dyDescent="0.25">
      <c r="A267" s="33">
        <v>3601</v>
      </c>
      <c r="B267" t="s">
        <v>61</v>
      </c>
      <c r="C267" t="s">
        <v>345</v>
      </c>
      <c r="D267" s="8">
        <v>2.21</v>
      </c>
      <c r="E267" s="8">
        <v>17.309999999999999</v>
      </c>
      <c r="F267" s="11">
        <v>24.538782957164848</v>
      </c>
      <c r="G267" s="11">
        <v>68.88618536945124</v>
      </c>
      <c r="H267" s="11">
        <v>6.5750316733839176</v>
      </c>
      <c r="I267" s="11">
        <v>32.440801686482743</v>
      </c>
      <c r="J267" s="11">
        <v>45.166987348303259</v>
      </c>
      <c r="K267" s="11">
        <v>104.70758181842984</v>
      </c>
      <c r="L267" s="11">
        <v>110.22946477413412</v>
      </c>
      <c r="M267" s="5"/>
    </row>
    <row r="268" spans="1:13" x14ac:dyDescent="0.25">
      <c r="A268" s="33">
        <v>3602</v>
      </c>
      <c r="B268" t="s">
        <v>61</v>
      </c>
      <c r="C268" t="s">
        <v>346</v>
      </c>
      <c r="D268" s="8">
        <v>2.16</v>
      </c>
      <c r="E268" s="8">
        <v>17.18</v>
      </c>
      <c r="F268" s="11">
        <v>24.881756265344961</v>
      </c>
      <c r="G268" s="11">
        <v>68.77249100359856</v>
      </c>
      <c r="H268" s="11">
        <v>6.3457527310564785</v>
      </c>
      <c r="I268" s="11">
        <v>32.699204582126541</v>
      </c>
      <c r="J268" s="11">
        <v>45.406976744186046</v>
      </c>
      <c r="K268" s="11">
        <v>105.45735076416254</v>
      </c>
      <c r="L268" s="11">
        <v>109.43153406505792</v>
      </c>
      <c r="M268" s="5"/>
    </row>
    <row r="269" spans="1:13" x14ac:dyDescent="0.25">
      <c r="A269" s="33">
        <v>3603</v>
      </c>
      <c r="B269" t="s">
        <v>61</v>
      </c>
      <c r="C269" t="s">
        <v>347</v>
      </c>
      <c r="D269" s="8">
        <v>1.86</v>
      </c>
      <c r="E269" s="8">
        <v>11.09</v>
      </c>
      <c r="F269" s="11">
        <v>23.839104694547814</v>
      </c>
      <c r="G269" s="11">
        <v>71.173433721377052</v>
      </c>
      <c r="H269" s="11">
        <v>4.9874615840751302</v>
      </c>
      <c r="I269" s="11">
        <v>32.580480659936654</v>
      </c>
      <c r="J269" s="11">
        <v>40.501862522848661</v>
      </c>
      <c r="K269" s="11">
        <v>103.78743463002149</v>
      </c>
      <c r="L269" s="11">
        <v>103.34928057489236</v>
      </c>
      <c r="M269" s="5"/>
    </row>
    <row r="270" spans="1:13" x14ac:dyDescent="0.25">
      <c r="A270" s="33">
        <v>3604</v>
      </c>
      <c r="B270" t="s">
        <v>61</v>
      </c>
      <c r="C270" t="s">
        <v>348</v>
      </c>
      <c r="D270" s="8">
        <v>2.12</v>
      </c>
      <c r="E270" s="8">
        <v>13.9</v>
      </c>
      <c r="F270" s="11">
        <v>24.637892927449723</v>
      </c>
      <c r="G270" s="11">
        <v>69.454604446418273</v>
      </c>
      <c r="H270" s="11">
        <v>5.9075026261319978</v>
      </c>
      <c r="I270" s="11">
        <v>33.506395336127639</v>
      </c>
      <c r="J270" s="11">
        <v>43.978935301757275</v>
      </c>
      <c r="K270" s="11">
        <v>103.92386426958385</v>
      </c>
      <c r="L270" s="11">
        <v>106.75051116033396</v>
      </c>
      <c r="M270" s="5"/>
    </row>
    <row r="271" spans="1:13" x14ac:dyDescent="0.25">
      <c r="A271" s="33">
        <v>3671</v>
      </c>
      <c r="B271" t="s">
        <v>61</v>
      </c>
      <c r="C271" t="s">
        <v>349</v>
      </c>
      <c r="D271" s="8">
        <v>1.83</v>
      </c>
      <c r="E271" s="8">
        <v>10.4</v>
      </c>
      <c r="F271" s="11">
        <v>23.014223794503984</v>
      </c>
      <c r="G271" s="11">
        <v>70.448075041087989</v>
      </c>
      <c r="H271" s="11">
        <v>6.537701164408027</v>
      </c>
      <c r="I271" s="11">
        <v>30.17634110026378</v>
      </c>
      <c r="J271" s="11">
        <v>41.948520157117436</v>
      </c>
      <c r="K271" s="11">
        <v>101.1650420311552</v>
      </c>
      <c r="L271" s="11">
        <v>101.35828523652839</v>
      </c>
      <c r="M271" s="5"/>
    </row>
    <row r="272" spans="1:13" x14ac:dyDescent="0.25">
      <c r="A272" s="33">
        <v>3672</v>
      </c>
      <c r="B272" t="s">
        <v>61</v>
      </c>
      <c r="C272" t="s">
        <v>350</v>
      </c>
      <c r="D272" s="8">
        <v>2.0499999999999998</v>
      </c>
      <c r="E272" s="8">
        <v>11.89</v>
      </c>
      <c r="F272" s="11">
        <v>25.734678999309672</v>
      </c>
      <c r="G272" s="11">
        <v>68.651975595646448</v>
      </c>
      <c r="H272" s="11">
        <v>5.6133454050438818</v>
      </c>
      <c r="I272" s="11">
        <v>31.165873474996719</v>
      </c>
      <c r="J272" s="11">
        <v>45.662232051398519</v>
      </c>
      <c r="K272" s="11">
        <v>102.33270530286877</v>
      </c>
      <c r="L272" s="11">
        <v>101.1925420999292</v>
      </c>
      <c r="M272" s="5"/>
    </row>
    <row r="273" spans="1:13" x14ac:dyDescent="0.25">
      <c r="A273" s="33">
        <v>3673</v>
      </c>
      <c r="B273" t="s">
        <v>61</v>
      </c>
      <c r="C273" t="s">
        <v>351</v>
      </c>
      <c r="D273" s="8">
        <v>2.06</v>
      </c>
      <c r="E273" s="8">
        <v>12.2</v>
      </c>
      <c r="F273" s="11">
        <v>25.485455831884096</v>
      </c>
      <c r="G273" s="11">
        <v>69.670896455044996</v>
      </c>
      <c r="H273" s="11">
        <v>4.8436477130709061</v>
      </c>
      <c r="I273" s="11">
        <v>33.609030014084603</v>
      </c>
      <c r="J273" s="11">
        <v>43.531955361769739</v>
      </c>
      <c r="K273" s="11">
        <v>103.92754948205322</v>
      </c>
      <c r="L273" s="11">
        <v>104.90300420879493</v>
      </c>
      <c r="M273" s="5"/>
    </row>
    <row r="274" spans="1:13" x14ac:dyDescent="0.25">
      <c r="A274" s="33">
        <v>3674</v>
      </c>
      <c r="B274" t="s">
        <v>61</v>
      </c>
      <c r="C274" t="s">
        <v>352</v>
      </c>
      <c r="D274" s="8">
        <v>1.71</v>
      </c>
      <c r="E274" s="8">
        <v>9.6</v>
      </c>
      <c r="F274" s="11">
        <v>21.32359692107314</v>
      </c>
      <c r="G274" s="11">
        <v>71.234524406865305</v>
      </c>
      <c r="H274" s="11">
        <v>7.4418786720615495</v>
      </c>
      <c r="I274" s="11">
        <v>29.874202422003719</v>
      </c>
      <c r="J274" s="11">
        <v>40.381368209657595</v>
      </c>
      <c r="K274" s="11">
        <v>99.07323445567225</v>
      </c>
      <c r="L274" s="11">
        <v>100.21321453102343</v>
      </c>
      <c r="M274" s="5"/>
    </row>
    <row r="275" spans="1:13" x14ac:dyDescent="0.25">
      <c r="A275" s="34">
        <v>5101</v>
      </c>
      <c r="B275" t="s">
        <v>62</v>
      </c>
      <c r="C275" t="s">
        <v>353</v>
      </c>
      <c r="D275" s="8">
        <v>2.14</v>
      </c>
      <c r="E275" s="8">
        <v>11.54</v>
      </c>
      <c r="F275" s="11">
        <v>21.399865939952019</v>
      </c>
      <c r="G275" s="11">
        <v>68.333621471445511</v>
      </c>
      <c r="H275" s="11">
        <v>10.266512588602469</v>
      </c>
      <c r="I275" s="11">
        <v>28.699162579655024</v>
      </c>
      <c r="J275" s="11">
        <v>46.340846345728771</v>
      </c>
      <c r="K275" s="11">
        <v>100.24841023523052</v>
      </c>
      <c r="L275" s="11">
        <v>104.91597366597367</v>
      </c>
      <c r="M275" s="5"/>
    </row>
    <row r="276" spans="1:13" x14ac:dyDescent="0.25">
      <c r="A276" s="34">
        <v>5102</v>
      </c>
      <c r="B276" t="s">
        <v>62</v>
      </c>
      <c r="C276" t="s">
        <v>354</v>
      </c>
      <c r="D276" s="8">
        <v>1.8</v>
      </c>
      <c r="E276" s="8">
        <v>11.12</v>
      </c>
      <c r="F276" s="11">
        <v>17.709294170155786</v>
      </c>
      <c r="G276" s="11">
        <v>68.426600922403352</v>
      </c>
      <c r="H276" s="11">
        <v>13.864104907440861</v>
      </c>
      <c r="I276" s="11">
        <v>27.44723810333468</v>
      </c>
      <c r="J276" s="11">
        <v>46.141995440342413</v>
      </c>
      <c r="K276" s="11">
        <v>98.368396644040644</v>
      </c>
      <c r="L276" s="11">
        <v>99.035201282288384</v>
      </c>
      <c r="M276" s="5"/>
    </row>
    <row r="277" spans="1:13" x14ac:dyDescent="0.25">
      <c r="A277" s="34">
        <v>5103</v>
      </c>
      <c r="B277" t="s">
        <v>62</v>
      </c>
      <c r="C277" t="s">
        <v>355</v>
      </c>
      <c r="D277" s="8">
        <v>1.86</v>
      </c>
      <c r="E277" s="8">
        <v>10.19</v>
      </c>
      <c r="F277" s="11">
        <v>19.396638855821877</v>
      </c>
      <c r="G277" s="11">
        <v>71.489363172544145</v>
      </c>
      <c r="H277" s="11">
        <v>9.1139979716339745</v>
      </c>
      <c r="I277" s="11">
        <v>30.338585085117082</v>
      </c>
      <c r="J277" s="11">
        <v>39.880949503835424</v>
      </c>
      <c r="K277" s="11">
        <v>100.52626837955071</v>
      </c>
      <c r="L277" s="11">
        <v>104.39646141310675</v>
      </c>
      <c r="M277" s="5"/>
    </row>
    <row r="278" spans="1:13" x14ac:dyDescent="0.25">
      <c r="A278" s="34">
        <v>5104</v>
      </c>
      <c r="B278" t="s">
        <v>62</v>
      </c>
      <c r="C278" t="s">
        <v>356</v>
      </c>
      <c r="D278" s="8">
        <v>1.89</v>
      </c>
      <c r="E278" s="8">
        <v>10.15</v>
      </c>
      <c r="F278" s="11">
        <v>19.250683805900429</v>
      </c>
      <c r="G278" s="11">
        <v>69.619695110740906</v>
      </c>
      <c r="H278" s="11">
        <v>11.129621083358659</v>
      </c>
      <c r="I278" s="11">
        <v>28.93896586786131</v>
      </c>
      <c r="J278" s="11">
        <v>43.63751498901928</v>
      </c>
      <c r="K278" s="11">
        <v>98.34860200489689</v>
      </c>
      <c r="L278" s="11">
        <v>99.562731247897744</v>
      </c>
      <c r="M278" s="5"/>
    </row>
    <row r="279" spans="1:13" x14ac:dyDescent="0.25">
      <c r="A279" s="34">
        <v>5105</v>
      </c>
      <c r="B279" t="s">
        <v>62</v>
      </c>
      <c r="C279" t="s">
        <v>357</v>
      </c>
      <c r="D279" s="8">
        <v>2.15</v>
      </c>
      <c r="E279" s="8">
        <v>12.9</v>
      </c>
      <c r="F279" s="11">
        <v>20.815269062559423</v>
      </c>
      <c r="G279" s="11">
        <v>67.599353489256515</v>
      </c>
      <c r="H279" s="11">
        <v>11.585377448184065</v>
      </c>
      <c r="I279" s="11">
        <v>28.291500285225329</v>
      </c>
      <c r="J279" s="11">
        <v>47.93040885500907</v>
      </c>
      <c r="K279" s="11">
        <v>100.69646520059152</v>
      </c>
      <c r="L279" s="11">
        <v>109.15864201869685</v>
      </c>
      <c r="M279" s="5"/>
    </row>
    <row r="280" spans="1:13" x14ac:dyDescent="0.25">
      <c r="A280" s="34">
        <v>5106</v>
      </c>
      <c r="B280" t="s">
        <v>62</v>
      </c>
      <c r="C280" t="s">
        <v>358</v>
      </c>
      <c r="D280" s="8">
        <v>2.12</v>
      </c>
      <c r="E280" s="8">
        <v>13.58</v>
      </c>
      <c r="F280" s="11">
        <v>20.476792993196248</v>
      </c>
      <c r="G280" s="11">
        <v>68.320503689785284</v>
      </c>
      <c r="H280" s="11">
        <v>11.202703317018472</v>
      </c>
      <c r="I280" s="11">
        <v>29.117860985256012</v>
      </c>
      <c r="J280" s="11">
        <v>46.368944312907892</v>
      </c>
      <c r="K280" s="11">
        <v>101.03115551866209</v>
      </c>
      <c r="L280" s="11">
        <v>105.97866866759567</v>
      </c>
      <c r="M280" s="5"/>
    </row>
    <row r="281" spans="1:13" x14ac:dyDescent="0.25">
      <c r="A281" s="34">
        <v>5107</v>
      </c>
      <c r="B281" t="s">
        <v>62</v>
      </c>
      <c r="C281" t="s">
        <v>359</v>
      </c>
      <c r="D281" s="8">
        <v>2.29</v>
      </c>
      <c r="E281" s="8">
        <v>14.7</v>
      </c>
      <c r="F281" s="11">
        <v>22.946591548184035</v>
      </c>
      <c r="G281" s="11">
        <v>66.894653234797886</v>
      </c>
      <c r="H281" s="11">
        <v>10.158755217018085</v>
      </c>
      <c r="I281" s="11">
        <v>28.748408994484514</v>
      </c>
      <c r="J281" s="11">
        <v>49.488778496247697</v>
      </c>
      <c r="K281" s="11">
        <v>99.298774132906487</v>
      </c>
      <c r="L281" s="11">
        <v>100.09064813415924</v>
      </c>
      <c r="M281" s="5"/>
    </row>
    <row r="282" spans="1:13" x14ac:dyDescent="0.25">
      <c r="A282" s="34">
        <v>5108</v>
      </c>
      <c r="B282" t="s">
        <v>62</v>
      </c>
      <c r="C282" t="s">
        <v>360</v>
      </c>
      <c r="D282" s="8">
        <v>2.21</v>
      </c>
      <c r="E282" s="8">
        <v>11.59</v>
      </c>
      <c r="F282" s="11">
        <v>22.275238999254189</v>
      </c>
      <c r="G282" s="11">
        <v>68.047591604273421</v>
      </c>
      <c r="H282" s="11">
        <v>9.6771693964724008</v>
      </c>
      <c r="I282" s="11">
        <v>30.160640430828238</v>
      </c>
      <c r="J282" s="11">
        <v>46.955972492816286</v>
      </c>
      <c r="K282" s="11">
        <v>100.53706788130118</v>
      </c>
      <c r="L282" s="11">
        <v>104.84840510825858</v>
      </c>
      <c r="M282" s="5"/>
    </row>
    <row r="283" spans="1:13" x14ac:dyDescent="0.25">
      <c r="A283" s="34">
        <v>5171</v>
      </c>
      <c r="B283" t="s">
        <v>62</v>
      </c>
      <c r="C283" t="s">
        <v>361</v>
      </c>
      <c r="D283" s="8">
        <v>1.84</v>
      </c>
      <c r="E283" s="8">
        <v>9.9</v>
      </c>
      <c r="F283" s="11">
        <v>19.97316560100473</v>
      </c>
      <c r="G283" s="11">
        <v>72.069603022510208</v>
      </c>
      <c r="H283" s="11">
        <v>7.9572313764850575</v>
      </c>
      <c r="I283" s="11">
        <v>30.295828447063165</v>
      </c>
      <c r="J283" s="11">
        <v>38.754753469040217</v>
      </c>
      <c r="K283" s="11">
        <v>102.04471366390939</v>
      </c>
      <c r="L283" s="11">
        <v>104.83105376041631</v>
      </c>
      <c r="M283" s="5"/>
    </row>
    <row r="284" spans="1:13" x14ac:dyDescent="0.25">
      <c r="A284" s="35">
        <v>5201</v>
      </c>
      <c r="B284" t="s">
        <v>63</v>
      </c>
      <c r="C284" t="s">
        <v>362</v>
      </c>
      <c r="D284" s="8">
        <v>2.27</v>
      </c>
      <c r="E284" s="8">
        <v>21.59</v>
      </c>
      <c r="F284" s="11">
        <v>26.603026142487547</v>
      </c>
      <c r="G284" s="11">
        <v>67.648624036152142</v>
      </c>
      <c r="H284" s="11">
        <v>5.7483498213603035</v>
      </c>
      <c r="I284" s="11">
        <v>31.217048818869635</v>
      </c>
      <c r="J284" s="11">
        <v>47.82266664664003</v>
      </c>
      <c r="K284" s="11">
        <v>101.16533678769714</v>
      </c>
      <c r="L284" s="11">
        <v>102.27970404997242</v>
      </c>
      <c r="M284" s="5"/>
    </row>
    <row r="285" spans="1:13" x14ac:dyDescent="0.25">
      <c r="A285" s="35">
        <v>5202</v>
      </c>
      <c r="B285" t="s">
        <v>63</v>
      </c>
      <c r="C285" t="s">
        <v>363</v>
      </c>
      <c r="D285" s="8">
        <v>2.2999999999999998</v>
      </c>
      <c r="E285" s="8">
        <v>22.83</v>
      </c>
      <c r="F285" s="11">
        <v>25.288985036016033</v>
      </c>
      <c r="G285" s="11">
        <v>68.429586291901629</v>
      </c>
      <c r="H285" s="11">
        <v>6.2814286720823356</v>
      </c>
      <c r="I285" s="11">
        <v>31.196988240533667</v>
      </c>
      <c r="J285" s="11">
        <v>46.135619720726844</v>
      </c>
      <c r="K285" s="11">
        <v>102.65457865901382</v>
      </c>
      <c r="L285" s="11">
        <v>107.33912601097255</v>
      </c>
      <c r="M285" s="5"/>
    </row>
    <row r="286" spans="1:13" x14ac:dyDescent="0.25">
      <c r="A286" s="35">
        <v>5203</v>
      </c>
      <c r="B286" t="s">
        <v>63</v>
      </c>
      <c r="C286" t="s">
        <v>364</v>
      </c>
      <c r="D286" s="8">
        <v>2.38</v>
      </c>
      <c r="E286" s="8">
        <v>22.13</v>
      </c>
      <c r="F286" s="11">
        <v>27.75563572204981</v>
      </c>
      <c r="G286" s="11">
        <v>66.527650020513462</v>
      </c>
      <c r="H286" s="11">
        <v>5.7167142574367285</v>
      </c>
      <c r="I286" s="11">
        <v>30.48765870534384</v>
      </c>
      <c r="J286" s="11">
        <v>50.313441056711774</v>
      </c>
      <c r="K286" s="11">
        <v>102.34930349686016</v>
      </c>
      <c r="L286" s="11">
        <v>104.88313433797605</v>
      </c>
      <c r="M286" s="5"/>
    </row>
    <row r="287" spans="1:13" x14ac:dyDescent="0.25">
      <c r="A287" s="35">
        <v>5204</v>
      </c>
      <c r="B287" t="s">
        <v>63</v>
      </c>
      <c r="C287" t="s">
        <v>365</v>
      </c>
      <c r="D287" s="8">
        <v>2.41</v>
      </c>
      <c r="E287" s="8">
        <v>19.55</v>
      </c>
      <c r="F287" s="11">
        <v>24.786992177001693</v>
      </c>
      <c r="G287" s="11">
        <v>67.747201661933161</v>
      </c>
      <c r="H287" s="11">
        <v>7.4658061610651485</v>
      </c>
      <c r="I287" s="11">
        <v>30.560902441327514</v>
      </c>
      <c r="J287" s="11">
        <v>47.607572780662224</v>
      </c>
      <c r="K287" s="11">
        <v>98.139799299816147</v>
      </c>
      <c r="L287" s="11">
        <v>101.10173744712377</v>
      </c>
      <c r="M287" s="5"/>
    </row>
    <row r="288" spans="1:13" x14ac:dyDescent="0.25">
      <c r="A288" s="35">
        <v>5205</v>
      </c>
      <c r="B288" t="s">
        <v>63</v>
      </c>
      <c r="C288" t="s">
        <v>366</v>
      </c>
      <c r="D288" s="8">
        <v>2.7</v>
      </c>
      <c r="E288" s="8">
        <v>24.74</v>
      </c>
      <c r="F288" s="11">
        <v>27.053327088550759</v>
      </c>
      <c r="G288" s="11">
        <v>66.482548800266301</v>
      </c>
      <c r="H288" s="11">
        <v>6.4641241111829357</v>
      </c>
      <c r="I288" s="11">
        <v>30.572210459494713</v>
      </c>
      <c r="J288" s="11">
        <v>50.415412472271868</v>
      </c>
      <c r="K288" s="11">
        <v>101.05919342537395</v>
      </c>
      <c r="L288" s="11">
        <v>104.14846597224016</v>
      </c>
      <c r="M288" s="5"/>
    </row>
    <row r="289" spans="1:13" x14ac:dyDescent="0.25">
      <c r="A289" s="35">
        <v>5206</v>
      </c>
      <c r="B289" t="s">
        <v>63</v>
      </c>
      <c r="C289" t="s">
        <v>367</v>
      </c>
      <c r="D289" s="8">
        <v>2.6</v>
      </c>
      <c r="E289" s="8">
        <v>22.85</v>
      </c>
      <c r="F289" s="11">
        <v>25.69218859781639</v>
      </c>
      <c r="G289" s="11">
        <v>67.01647808434447</v>
      </c>
      <c r="H289" s="11">
        <v>7.2913333178391309</v>
      </c>
      <c r="I289" s="11">
        <v>32.683530318280717</v>
      </c>
      <c r="J289" s="11">
        <v>49.217032673880098</v>
      </c>
      <c r="K289" s="11">
        <v>100.86869085881528</v>
      </c>
      <c r="L289" s="11">
        <v>104.06648360234858</v>
      </c>
      <c r="M289" s="5"/>
    </row>
    <row r="290" spans="1:13" x14ac:dyDescent="0.25">
      <c r="A290" s="35">
        <v>5207</v>
      </c>
      <c r="B290" t="s">
        <v>63</v>
      </c>
      <c r="C290" t="s">
        <v>368</v>
      </c>
      <c r="D290" s="8">
        <v>2.65</v>
      </c>
      <c r="E290" s="8">
        <v>20.190000000000001</v>
      </c>
      <c r="F290" s="11">
        <v>28.297414329442798</v>
      </c>
      <c r="G290" s="11">
        <v>66.116890227210519</v>
      </c>
      <c r="H290" s="11">
        <v>5.5856954433466885</v>
      </c>
      <c r="I290" s="11">
        <v>28.589204389916134</v>
      </c>
      <c r="J290" s="11">
        <v>51.247282889969981</v>
      </c>
      <c r="K290" s="11">
        <v>100.68922462229992</v>
      </c>
      <c r="L290" s="11">
        <v>103.84154726522645</v>
      </c>
      <c r="M290" s="5"/>
    </row>
    <row r="291" spans="1:13" x14ac:dyDescent="0.25">
      <c r="A291" s="35">
        <v>5208</v>
      </c>
      <c r="B291" t="s">
        <v>63</v>
      </c>
      <c r="C291" t="s">
        <v>369</v>
      </c>
      <c r="D291" s="8">
        <v>2.4300000000000002</v>
      </c>
      <c r="E291" s="8">
        <v>25.58</v>
      </c>
      <c r="F291" s="11">
        <v>27.600358682993441</v>
      </c>
      <c r="G291" s="11">
        <v>66.894750354404096</v>
      </c>
      <c r="H291" s="11">
        <v>5.5048909626024605</v>
      </c>
      <c r="I291" s="11">
        <v>31.405598282488899</v>
      </c>
      <c r="J291" s="11">
        <v>49.488561464399538</v>
      </c>
      <c r="K291" s="11">
        <v>100.65775720471852</v>
      </c>
      <c r="L291" s="11">
        <v>102.13616878607179</v>
      </c>
      <c r="M291" s="5"/>
    </row>
    <row r="292" spans="1:13" x14ac:dyDescent="0.25">
      <c r="A292" s="35">
        <v>5271</v>
      </c>
      <c r="B292" t="s">
        <v>63</v>
      </c>
      <c r="C292" t="s">
        <v>370</v>
      </c>
      <c r="D292" s="8">
        <v>2.11</v>
      </c>
      <c r="E292" s="8">
        <v>11.66</v>
      </c>
      <c r="F292" s="11">
        <v>25.685329678831149</v>
      </c>
      <c r="G292" s="11">
        <v>67.627594438672887</v>
      </c>
      <c r="H292" s="11">
        <v>6.6870758824959662</v>
      </c>
      <c r="I292" s="11">
        <v>29.979222386773056</v>
      </c>
      <c r="J292" s="11">
        <v>47.868633846918165</v>
      </c>
      <c r="K292" s="11">
        <v>99.131131377865415</v>
      </c>
      <c r="L292" s="11">
        <v>103.20473443703648</v>
      </c>
      <c r="M292" s="5"/>
    </row>
    <row r="293" spans="1:13" x14ac:dyDescent="0.25">
      <c r="A293" s="35">
        <v>5272</v>
      </c>
      <c r="B293" t="s">
        <v>63</v>
      </c>
      <c r="C293" t="s">
        <v>371</v>
      </c>
      <c r="D293" s="8">
        <v>2.3199999999999998</v>
      </c>
      <c r="E293" s="8">
        <v>19</v>
      </c>
      <c r="F293" s="11">
        <v>27.02487206949899</v>
      </c>
      <c r="G293" s="11">
        <v>66.376294180649765</v>
      </c>
      <c r="H293" s="11">
        <v>6.5988337498512433</v>
      </c>
      <c r="I293" s="11">
        <v>30.059502558610017</v>
      </c>
      <c r="J293" s="11">
        <v>50.656196213425133</v>
      </c>
      <c r="K293" s="11">
        <v>98.403891105706805</v>
      </c>
      <c r="L293" s="11">
        <v>98.748918089542855</v>
      </c>
      <c r="M293" s="5"/>
    </row>
    <row r="294" spans="1:13" x14ac:dyDescent="0.25">
      <c r="A294" s="36">
        <v>5301</v>
      </c>
      <c r="B294" t="s">
        <v>64</v>
      </c>
      <c r="C294" t="s">
        <v>372</v>
      </c>
      <c r="D294" s="8">
        <v>3.09</v>
      </c>
      <c r="E294" s="8">
        <v>22.63</v>
      </c>
      <c r="F294" s="11">
        <v>31.644107584346827</v>
      </c>
      <c r="G294" s="11">
        <v>62.978548060834605</v>
      </c>
      <c r="H294" s="11">
        <v>5.37734435481857</v>
      </c>
      <c r="I294" s="11">
        <v>32.419524011687436</v>
      </c>
      <c r="J294" s="11">
        <v>58.784225865931759</v>
      </c>
      <c r="K294" s="11">
        <v>104.37922674492791</v>
      </c>
      <c r="L294" s="11">
        <v>107.22723281985793</v>
      </c>
      <c r="M294" s="5"/>
    </row>
    <row r="295" spans="1:13" x14ac:dyDescent="0.25">
      <c r="A295" s="36">
        <v>5302</v>
      </c>
      <c r="B295" t="s">
        <v>64</v>
      </c>
      <c r="C295" t="s">
        <v>373</v>
      </c>
      <c r="D295" s="8">
        <v>2.79</v>
      </c>
      <c r="E295" s="8">
        <v>22.03</v>
      </c>
      <c r="F295" s="11">
        <v>31.133487090060193</v>
      </c>
      <c r="G295" s="11">
        <v>62.514860025126097</v>
      </c>
      <c r="H295" s="11">
        <v>6.3516528848137108</v>
      </c>
      <c r="I295" s="11">
        <v>29.990437081622325</v>
      </c>
      <c r="J295" s="11">
        <v>59.961967378328609</v>
      </c>
      <c r="K295" s="11">
        <v>104.80257448099476</v>
      </c>
      <c r="L295" s="11">
        <v>106.66477155261526</v>
      </c>
      <c r="M295" s="5"/>
    </row>
    <row r="296" spans="1:13" x14ac:dyDescent="0.25">
      <c r="A296" s="36">
        <v>5303</v>
      </c>
      <c r="B296" t="s">
        <v>64</v>
      </c>
      <c r="C296" t="s">
        <v>374</v>
      </c>
      <c r="D296" s="8">
        <v>2.84</v>
      </c>
      <c r="E296" s="8">
        <v>31.74</v>
      </c>
      <c r="F296" s="11">
        <v>25.808781088797033</v>
      </c>
      <c r="G296" s="11">
        <v>67.068199289251012</v>
      </c>
      <c r="H296" s="11">
        <v>7.1230196219519453</v>
      </c>
      <c r="I296" s="11">
        <v>32.879775749120618</v>
      </c>
      <c r="J296" s="11">
        <v>49.10196048163013</v>
      </c>
      <c r="K296" s="11">
        <v>102.36063753450344</v>
      </c>
      <c r="L296" s="11">
        <v>105.4337279254803</v>
      </c>
      <c r="M296" s="5"/>
    </row>
    <row r="297" spans="1:13" x14ac:dyDescent="0.25">
      <c r="A297" s="36">
        <v>5304</v>
      </c>
      <c r="B297" t="s">
        <v>64</v>
      </c>
      <c r="C297" t="s">
        <v>375</v>
      </c>
      <c r="D297" s="8">
        <v>2.95</v>
      </c>
      <c r="E297" s="8">
        <v>22.71</v>
      </c>
      <c r="F297" s="11">
        <v>27.196720383592215</v>
      </c>
      <c r="G297" s="11">
        <v>64.824577717044136</v>
      </c>
      <c r="H297" s="11">
        <v>7.978701899363644</v>
      </c>
      <c r="I297" s="11">
        <v>30.184437993741557</v>
      </c>
      <c r="J297" s="11">
        <v>54.262478093563097</v>
      </c>
      <c r="K297" s="11">
        <v>98.321834195935679</v>
      </c>
      <c r="L297" s="11">
        <v>99.33519336795311</v>
      </c>
      <c r="M297" s="5"/>
    </row>
    <row r="298" spans="1:13" x14ac:dyDescent="0.25">
      <c r="A298" s="36">
        <v>5305</v>
      </c>
      <c r="B298" t="s">
        <v>64</v>
      </c>
      <c r="C298" t="s">
        <v>376</v>
      </c>
      <c r="D298" s="8">
        <v>2.75</v>
      </c>
      <c r="E298" s="8">
        <v>24.27</v>
      </c>
      <c r="F298" s="11">
        <v>28.675556181853413</v>
      </c>
      <c r="G298" s="11">
        <v>63.9407443941449</v>
      </c>
      <c r="H298" s="11">
        <v>7.3836994240016915</v>
      </c>
      <c r="I298" s="11">
        <v>30.9027496433038</v>
      </c>
      <c r="J298" s="11">
        <v>56.39480107328415</v>
      </c>
      <c r="K298" s="11">
        <v>100.83417056983967</v>
      </c>
      <c r="L298" s="11">
        <v>104.6496978746238</v>
      </c>
      <c r="M298" s="5"/>
    </row>
    <row r="299" spans="1:13" x14ac:dyDescent="0.25">
      <c r="A299" s="36">
        <v>5306</v>
      </c>
      <c r="B299" t="s">
        <v>64</v>
      </c>
      <c r="C299" t="s">
        <v>377</v>
      </c>
      <c r="D299" s="8">
        <v>2.74</v>
      </c>
      <c r="E299" s="8">
        <v>16.32</v>
      </c>
      <c r="F299" s="11">
        <v>28.342324548874942</v>
      </c>
      <c r="G299" s="11">
        <v>65.3537587633746</v>
      </c>
      <c r="H299" s="11">
        <v>6.3039166877504549</v>
      </c>
      <c r="I299" s="11">
        <v>34.445469161899013</v>
      </c>
      <c r="J299" s="11">
        <v>53.013387282082022</v>
      </c>
      <c r="K299" s="11">
        <v>99.923311632156896</v>
      </c>
      <c r="L299" s="11">
        <v>100.1944787022104</v>
      </c>
      <c r="M299" s="5"/>
    </row>
    <row r="300" spans="1:13" x14ac:dyDescent="0.25">
      <c r="A300" s="36">
        <v>5307</v>
      </c>
      <c r="B300" t="s">
        <v>64</v>
      </c>
      <c r="C300" t="s">
        <v>378</v>
      </c>
      <c r="D300" s="8">
        <v>2.81</v>
      </c>
      <c r="E300" s="8">
        <v>37.42</v>
      </c>
      <c r="F300" s="11">
        <v>30.475492520584556</v>
      </c>
      <c r="G300" s="11">
        <v>63.050394447557878</v>
      </c>
      <c r="H300" s="11">
        <v>6.4741130318575673</v>
      </c>
      <c r="I300" s="11">
        <v>30.727680303487521</v>
      </c>
      <c r="J300" s="11">
        <v>58.60329007644026</v>
      </c>
      <c r="K300" s="11">
        <v>98.30394009078708</v>
      </c>
      <c r="L300" s="11">
        <v>101.74634173954884</v>
      </c>
      <c r="M300" s="5"/>
    </row>
    <row r="301" spans="1:13" x14ac:dyDescent="0.25">
      <c r="A301" s="36">
        <v>5308</v>
      </c>
      <c r="B301" t="s">
        <v>64</v>
      </c>
      <c r="C301" t="s">
        <v>379</v>
      </c>
      <c r="D301" s="8">
        <v>2.69</v>
      </c>
      <c r="E301" s="8">
        <v>17.649999999999999</v>
      </c>
      <c r="F301" s="11">
        <v>30.262496433472368</v>
      </c>
      <c r="G301" s="11">
        <v>61.183951305009444</v>
      </c>
      <c r="H301" s="11">
        <v>8.5535522615181847</v>
      </c>
      <c r="I301" s="11">
        <v>27.401122267360499</v>
      </c>
      <c r="J301" s="11">
        <v>63.441552673654286</v>
      </c>
      <c r="K301" s="11">
        <v>94.379960120957634</v>
      </c>
      <c r="L301" s="11">
        <v>99.018108254798449</v>
      </c>
      <c r="M301" s="5"/>
    </row>
    <row r="302" spans="1:13" x14ac:dyDescent="0.25">
      <c r="A302" s="36">
        <v>5309</v>
      </c>
      <c r="B302" t="s">
        <v>64</v>
      </c>
      <c r="C302" t="s">
        <v>380</v>
      </c>
      <c r="D302" s="8">
        <v>2.56</v>
      </c>
      <c r="E302" s="8">
        <v>22.33</v>
      </c>
      <c r="F302" s="11">
        <v>27.02352515141347</v>
      </c>
      <c r="G302" s="11">
        <v>64.526224513865586</v>
      </c>
      <c r="H302" s="11">
        <v>8.450250334720943</v>
      </c>
      <c r="I302" s="11">
        <v>31.18303504686093</v>
      </c>
      <c r="J302" s="11">
        <v>54.97574940017094</v>
      </c>
      <c r="K302" s="11">
        <v>97.132060148800164</v>
      </c>
      <c r="L302" s="11">
        <v>103.81308086510901</v>
      </c>
      <c r="M302" s="5"/>
    </row>
    <row r="303" spans="1:13" x14ac:dyDescent="0.25">
      <c r="A303" s="36">
        <v>5310</v>
      </c>
      <c r="B303" t="s">
        <v>64</v>
      </c>
      <c r="C303" t="s">
        <v>381</v>
      </c>
      <c r="D303" s="8">
        <v>2.17</v>
      </c>
      <c r="E303" s="8">
        <v>17.07</v>
      </c>
      <c r="F303" s="11">
        <v>27.970017953833814</v>
      </c>
      <c r="G303" s="11">
        <v>63.750381768723798</v>
      </c>
      <c r="H303" s="11">
        <v>8.2796002774423929</v>
      </c>
      <c r="I303" s="11">
        <v>30.274902024587334</v>
      </c>
      <c r="J303" s="11">
        <v>56.86180572656653</v>
      </c>
      <c r="K303" s="11">
        <v>95.357823948609848</v>
      </c>
      <c r="L303" s="11">
        <v>101.96507797475103</v>
      </c>
      <c r="M303" s="5"/>
    </row>
    <row r="304" spans="1:13" x14ac:dyDescent="0.25">
      <c r="A304" s="36">
        <v>5311</v>
      </c>
      <c r="B304" t="s">
        <v>64</v>
      </c>
      <c r="C304" t="s">
        <v>382</v>
      </c>
      <c r="D304" s="8">
        <v>2.11</v>
      </c>
      <c r="E304" s="8">
        <v>22.38</v>
      </c>
      <c r="F304" s="11">
        <v>24.044738612322288</v>
      </c>
      <c r="G304" s="11">
        <v>68.01412284645761</v>
      </c>
      <c r="H304" s="11">
        <v>7.9411385412200994</v>
      </c>
      <c r="I304" s="11">
        <v>31.786512193676785</v>
      </c>
      <c r="J304" s="11">
        <v>47.02828738341703</v>
      </c>
      <c r="K304" s="11">
        <v>96.35568513119533</v>
      </c>
      <c r="L304" s="11">
        <v>102.92599350273686</v>
      </c>
      <c r="M304" s="5"/>
    </row>
    <row r="305" spans="1:13" x14ac:dyDescent="0.25">
      <c r="A305" s="36">
        <v>5312</v>
      </c>
      <c r="B305" t="s">
        <v>64</v>
      </c>
      <c r="C305" t="s">
        <v>383</v>
      </c>
      <c r="D305" s="8">
        <v>2.56</v>
      </c>
      <c r="E305" s="8">
        <v>13.16</v>
      </c>
      <c r="F305" s="11">
        <v>26.38794920684623</v>
      </c>
      <c r="G305" s="11">
        <v>65.782837460789636</v>
      </c>
      <c r="H305" s="11">
        <v>7.8292133323641409</v>
      </c>
      <c r="I305" s="11">
        <v>31.462791386858864</v>
      </c>
      <c r="J305" s="11">
        <v>52.015333877328985</v>
      </c>
      <c r="K305" s="11">
        <v>97.36795638643035</v>
      </c>
      <c r="L305" s="11">
        <v>101.29140731201258</v>
      </c>
      <c r="M305" s="5"/>
    </row>
    <row r="306" spans="1:13" x14ac:dyDescent="0.25">
      <c r="A306" s="36">
        <v>5313</v>
      </c>
      <c r="B306" t="s">
        <v>64</v>
      </c>
      <c r="C306" t="s">
        <v>384</v>
      </c>
      <c r="D306" s="8">
        <v>2.82</v>
      </c>
      <c r="E306" s="8">
        <v>20.03</v>
      </c>
      <c r="F306" s="11">
        <v>29.906369098911011</v>
      </c>
      <c r="G306" s="11">
        <v>64.565706453534432</v>
      </c>
      <c r="H306" s="11">
        <v>5.5279244475545504</v>
      </c>
      <c r="I306" s="11">
        <v>31.962316309357885</v>
      </c>
      <c r="J306" s="11">
        <v>54.880981704995854</v>
      </c>
      <c r="K306" s="11">
        <v>100.16437943867895</v>
      </c>
      <c r="L306" s="11">
        <v>102.98600653762809</v>
      </c>
      <c r="M306" s="5"/>
    </row>
    <row r="307" spans="1:13" x14ac:dyDescent="0.25">
      <c r="A307" s="36">
        <v>5314</v>
      </c>
      <c r="B307" t="s">
        <v>64</v>
      </c>
      <c r="C307" t="s">
        <v>385</v>
      </c>
      <c r="D307" s="8">
        <v>3</v>
      </c>
      <c r="E307" s="8">
        <v>35.21</v>
      </c>
      <c r="F307" s="11">
        <v>31.433315588004156</v>
      </c>
      <c r="G307" s="11">
        <v>61.617486754379293</v>
      </c>
      <c r="H307" s="11">
        <v>6.9491976576165486</v>
      </c>
      <c r="I307" s="11">
        <v>29.743072984003856</v>
      </c>
      <c r="J307" s="11">
        <v>62.291591668809467</v>
      </c>
      <c r="K307" s="11">
        <v>101.23197000420858</v>
      </c>
      <c r="L307" s="11">
        <v>98.978207411176129</v>
      </c>
      <c r="M307" s="5"/>
    </row>
    <row r="308" spans="1:13" x14ac:dyDescent="0.25">
      <c r="A308" s="36">
        <v>5315</v>
      </c>
      <c r="B308" t="s">
        <v>64</v>
      </c>
      <c r="C308" t="s">
        <v>386</v>
      </c>
      <c r="D308" s="8">
        <v>2.66</v>
      </c>
      <c r="E308" s="8">
        <v>18.510000000000002</v>
      </c>
      <c r="F308" s="11">
        <v>30.860689136385481</v>
      </c>
      <c r="G308" s="11">
        <v>64.236858418482839</v>
      </c>
      <c r="H308" s="11">
        <v>4.9024524451316767</v>
      </c>
      <c r="I308" s="11">
        <v>32.278454562550934</v>
      </c>
      <c r="J308" s="11">
        <v>55.673864603607456</v>
      </c>
      <c r="K308" s="11">
        <v>100.481756105735</v>
      </c>
      <c r="L308" s="11">
        <v>99.63598767958301</v>
      </c>
      <c r="M308" s="5"/>
    </row>
    <row r="309" spans="1:13" x14ac:dyDescent="0.25">
      <c r="A309" s="36">
        <v>5316</v>
      </c>
      <c r="B309" t="s">
        <v>64</v>
      </c>
      <c r="C309" t="s">
        <v>387</v>
      </c>
      <c r="D309" s="8">
        <v>3.27</v>
      </c>
      <c r="E309" s="8">
        <v>20.43</v>
      </c>
      <c r="F309" s="11">
        <v>33.019909200716398</v>
      </c>
      <c r="G309" s="11">
        <v>61.450914240493148</v>
      </c>
      <c r="H309" s="11">
        <v>5.5291765587904536</v>
      </c>
      <c r="I309" s="11">
        <v>30.78845432962639</v>
      </c>
      <c r="J309" s="11">
        <v>62.73150893840549</v>
      </c>
      <c r="K309" s="11">
        <v>105.07367072389494</v>
      </c>
      <c r="L309" s="11">
        <v>106.35075720566682</v>
      </c>
      <c r="M309" s="5"/>
    </row>
    <row r="310" spans="1:13" x14ac:dyDescent="0.25">
      <c r="A310" s="36">
        <v>5317</v>
      </c>
      <c r="B310" t="s">
        <v>64</v>
      </c>
      <c r="C310" t="s">
        <v>388</v>
      </c>
      <c r="D310" s="8">
        <v>3.43</v>
      </c>
      <c r="E310" s="8">
        <v>32.65</v>
      </c>
      <c r="F310" s="11">
        <v>35.272446806335033</v>
      </c>
      <c r="G310" s="11">
        <v>60.841632898707807</v>
      </c>
      <c r="H310" s="11">
        <v>3.8859202949571556</v>
      </c>
      <c r="I310" s="11">
        <v>29.892750820218122</v>
      </c>
      <c r="J310" s="11">
        <v>64.361137654679652</v>
      </c>
      <c r="K310" s="11">
        <v>104.48107149044463</v>
      </c>
      <c r="L310" s="11">
        <v>104.205085219335</v>
      </c>
      <c r="M310" s="5"/>
    </row>
    <row r="311" spans="1:13" x14ac:dyDescent="0.25">
      <c r="A311" s="36">
        <v>5318</v>
      </c>
      <c r="B311" t="s">
        <v>64</v>
      </c>
      <c r="C311" t="s">
        <v>389</v>
      </c>
      <c r="D311" s="8">
        <v>2.4500000000000002</v>
      </c>
      <c r="E311" s="8">
        <v>17.690000000000001</v>
      </c>
      <c r="F311" s="11">
        <v>26.245562916970183</v>
      </c>
      <c r="G311" s="11">
        <v>65.801218680264085</v>
      </c>
      <c r="H311" s="11">
        <v>7.9532184027657342</v>
      </c>
      <c r="I311" s="11">
        <v>31.125487067420536</v>
      </c>
      <c r="J311" s="11">
        <v>51.972869204614348</v>
      </c>
      <c r="K311" s="11">
        <v>97.680053027359364</v>
      </c>
      <c r="L311" s="11">
        <v>103.55779046466785</v>
      </c>
      <c r="M311" s="5"/>
    </row>
    <row r="312" spans="1:13" x14ac:dyDescent="0.25">
      <c r="A312" s="36">
        <v>5319</v>
      </c>
      <c r="B312" t="s">
        <v>64</v>
      </c>
      <c r="C312" t="s">
        <v>390</v>
      </c>
      <c r="D312" s="8">
        <v>2.92</v>
      </c>
      <c r="E312" s="8">
        <v>17.07</v>
      </c>
      <c r="F312" s="11">
        <v>29.325572451912734</v>
      </c>
      <c r="G312" s="11">
        <v>65.371629328831503</v>
      </c>
      <c r="H312" s="11">
        <v>5.3027982192557639</v>
      </c>
      <c r="I312" s="11">
        <v>31.051890574179208</v>
      </c>
      <c r="J312" s="11">
        <v>52.97155819228756</v>
      </c>
      <c r="K312" s="11">
        <v>102.15970483594677</v>
      </c>
      <c r="L312" s="11">
        <v>104.37804328707179</v>
      </c>
      <c r="M312" s="5"/>
    </row>
    <row r="313" spans="1:13" x14ac:dyDescent="0.25">
      <c r="A313" s="36">
        <v>5320</v>
      </c>
      <c r="B313" t="s">
        <v>64</v>
      </c>
      <c r="C313" t="s">
        <v>391</v>
      </c>
      <c r="D313" s="8">
        <v>3.17</v>
      </c>
      <c r="E313" s="8">
        <v>38.39</v>
      </c>
      <c r="F313" s="11">
        <v>32.94694194921324</v>
      </c>
      <c r="G313" s="11">
        <v>60.443821489226735</v>
      </c>
      <c r="H313" s="11">
        <v>6.6092365615600253</v>
      </c>
      <c r="I313" s="11">
        <v>30.35337930470013</v>
      </c>
      <c r="J313" s="11">
        <v>65.442881565361631</v>
      </c>
      <c r="K313" s="11">
        <v>103.3918761444981</v>
      </c>
      <c r="L313" s="11">
        <v>106.09934004862799</v>
      </c>
      <c r="M313" s="5"/>
    </row>
    <row r="314" spans="1:13" x14ac:dyDescent="0.25">
      <c r="A314" s="36">
        <v>5321</v>
      </c>
      <c r="B314" t="s">
        <v>64</v>
      </c>
      <c r="C314" t="s">
        <v>392</v>
      </c>
      <c r="D314" s="8">
        <v>2.57</v>
      </c>
      <c r="E314" s="8">
        <v>15.03</v>
      </c>
      <c r="F314" s="11">
        <v>26.668043688537807</v>
      </c>
      <c r="G314" s="11">
        <v>65.111639529260032</v>
      </c>
      <c r="H314" s="11">
        <v>8.2203167822021594</v>
      </c>
      <c r="I314" s="11">
        <v>32.170925358697403</v>
      </c>
      <c r="J314" s="11">
        <v>53.582371328649678</v>
      </c>
      <c r="K314" s="11">
        <v>97.492736896565447</v>
      </c>
      <c r="L314" s="11">
        <v>99.806007509386731</v>
      </c>
      <c r="M314" s="5"/>
    </row>
    <row r="315" spans="1:13" x14ac:dyDescent="0.25">
      <c r="A315" s="36">
        <v>5371</v>
      </c>
      <c r="B315" t="s">
        <v>64</v>
      </c>
      <c r="C315" t="s">
        <v>393</v>
      </c>
      <c r="D315" s="8">
        <v>2.37</v>
      </c>
      <c r="E315" s="8">
        <v>12.61</v>
      </c>
      <c r="F315" s="11">
        <v>26.839697956536902</v>
      </c>
      <c r="G315" s="11">
        <v>68.409010732208657</v>
      </c>
      <c r="H315" s="11">
        <v>4.7512913112544428</v>
      </c>
      <c r="I315" s="11">
        <v>34.741727553207326</v>
      </c>
      <c r="J315" s="11">
        <v>46.179573318866197</v>
      </c>
      <c r="K315" s="11">
        <v>101.20833401716696</v>
      </c>
      <c r="L315" s="11">
        <v>100.11628453298252</v>
      </c>
      <c r="M315" s="5"/>
    </row>
    <row r="316" spans="1:13" x14ac:dyDescent="0.25">
      <c r="A316" s="37">
        <v>6101</v>
      </c>
      <c r="B316" t="s">
        <v>65</v>
      </c>
      <c r="C316" t="s">
        <v>394</v>
      </c>
      <c r="D316" s="8">
        <v>2.42</v>
      </c>
      <c r="E316" s="8">
        <v>13.82</v>
      </c>
      <c r="F316" s="11">
        <v>25.236361131658462</v>
      </c>
      <c r="G316" s="11">
        <v>67.517976023982001</v>
      </c>
      <c r="H316" s="11">
        <v>7.2456628443595266</v>
      </c>
      <c r="I316" s="11">
        <v>29.800219815103752</v>
      </c>
      <c r="J316" s="11">
        <v>48.108705101705887</v>
      </c>
      <c r="K316" s="11">
        <v>103.59923661794923</v>
      </c>
      <c r="L316" s="11">
        <v>106.01004088815277</v>
      </c>
      <c r="M316" s="5"/>
    </row>
    <row r="317" spans="1:13" x14ac:dyDescent="0.25">
      <c r="A317" s="37">
        <v>6102</v>
      </c>
      <c r="B317" t="s">
        <v>65</v>
      </c>
      <c r="C317" t="s">
        <v>395</v>
      </c>
      <c r="D317" s="8">
        <v>2.25</v>
      </c>
      <c r="E317" s="8">
        <v>13.06</v>
      </c>
      <c r="F317" s="11">
        <v>25.116371453193526</v>
      </c>
      <c r="G317" s="11">
        <v>68.97711655085584</v>
      </c>
      <c r="H317" s="11">
        <v>5.906511995950626</v>
      </c>
      <c r="I317" s="11">
        <v>33.655297023517768</v>
      </c>
      <c r="J317" s="11">
        <v>44.975616552877248</v>
      </c>
      <c r="K317" s="11">
        <v>107.56524919373607</v>
      </c>
      <c r="L317" s="11">
        <v>109.60076614592687</v>
      </c>
      <c r="M317" s="5"/>
    </row>
    <row r="318" spans="1:13" x14ac:dyDescent="0.25">
      <c r="A318" s="37">
        <v>6103</v>
      </c>
      <c r="B318" t="s">
        <v>65</v>
      </c>
      <c r="C318" t="s">
        <v>396</v>
      </c>
      <c r="D318" s="8">
        <v>2.3199999999999998</v>
      </c>
      <c r="E318" s="8">
        <v>15.93</v>
      </c>
      <c r="F318" s="11">
        <v>25.467953013887339</v>
      </c>
      <c r="G318" s="11">
        <v>68.595024014296882</v>
      </c>
      <c r="H318" s="11">
        <v>5.9370229718157788</v>
      </c>
      <c r="I318" s="11">
        <v>33.579991809077029</v>
      </c>
      <c r="J318" s="11">
        <v>45.783169314377012</v>
      </c>
      <c r="K318" s="11">
        <v>109.08453993461001</v>
      </c>
      <c r="L318" s="11">
        <v>111.89046325526759</v>
      </c>
      <c r="M318" s="5"/>
    </row>
    <row r="319" spans="1:13" x14ac:dyDescent="0.25">
      <c r="A319" s="37">
        <v>6104</v>
      </c>
      <c r="B319" t="s">
        <v>65</v>
      </c>
      <c r="C319" t="s">
        <v>397</v>
      </c>
      <c r="D319" s="8">
        <v>2.25</v>
      </c>
      <c r="E319" s="8">
        <v>12.74</v>
      </c>
      <c r="F319" s="11">
        <v>24.425499913701703</v>
      </c>
      <c r="G319" s="11">
        <v>68.375372931922968</v>
      </c>
      <c r="H319" s="11">
        <v>7.199127154375323</v>
      </c>
      <c r="I319" s="11">
        <v>32.66513795399068</v>
      </c>
      <c r="J319" s="11">
        <v>46.251487504958348</v>
      </c>
      <c r="K319" s="11">
        <v>104.53247432753588</v>
      </c>
      <c r="L319" s="11">
        <v>108.04836873306898</v>
      </c>
      <c r="M319" s="5"/>
    </row>
    <row r="320" spans="1:13" x14ac:dyDescent="0.25">
      <c r="A320" s="37">
        <v>6105</v>
      </c>
      <c r="B320" t="s">
        <v>65</v>
      </c>
      <c r="C320" t="s">
        <v>398</v>
      </c>
      <c r="D320" s="8">
        <v>2.2599999999999998</v>
      </c>
      <c r="E320" s="8">
        <v>12.56</v>
      </c>
      <c r="F320" s="11">
        <v>23.974988475494406</v>
      </c>
      <c r="G320" s="11">
        <v>69.527294428642747</v>
      </c>
      <c r="H320" s="11">
        <v>6.4977170958628454</v>
      </c>
      <c r="I320" s="11">
        <v>31.86712292869726</v>
      </c>
      <c r="J320" s="11">
        <v>43.828406990051946</v>
      </c>
      <c r="K320" s="11">
        <v>106.99746201937734</v>
      </c>
      <c r="L320" s="11">
        <v>108.06918945922317</v>
      </c>
      <c r="M320" s="5"/>
    </row>
    <row r="321" spans="1:13" x14ac:dyDescent="0.25">
      <c r="A321" s="37">
        <v>6106</v>
      </c>
      <c r="B321" t="s">
        <v>65</v>
      </c>
      <c r="C321" t="s">
        <v>399</v>
      </c>
      <c r="D321" s="8">
        <v>2.21</v>
      </c>
      <c r="E321" s="8">
        <v>15.36</v>
      </c>
      <c r="F321" s="11">
        <v>23.701667266559063</v>
      </c>
      <c r="G321" s="11">
        <v>70.72991975556964</v>
      </c>
      <c r="H321" s="11">
        <v>5.5684129778712999</v>
      </c>
      <c r="I321" s="11">
        <v>33.624321863716389</v>
      </c>
      <c r="J321" s="11">
        <v>41.382883432616211</v>
      </c>
      <c r="K321" s="11">
        <v>107.63411697868197</v>
      </c>
      <c r="L321" s="11">
        <v>107.43833207736751</v>
      </c>
      <c r="M321" s="5"/>
    </row>
    <row r="322" spans="1:13" x14ac:dyDescent="0.25">
      <c r="A322" s="37">
        <v>6107</v>
      </c>
      <c r="B322" t="s">
        <v>65</v>
      </c>
      <c r="C322" t="s">
        <v>400</v>
      </c>
      <c r="D322" s="8">
        <v>2.2999999999999998</v>
      </c>
      <c r="E322" s="8">
        <v>14.83</v>
      </c>
      <c r="F322" s="11">
        <v>25.35741704998669</v>
      </c>
      <c r="G322" s="11">
        <v>68.64915163634204</v>
      </c>
      <c r="H322" s="11">
        <v>5.9934313136712705</v>
      </c>
      <c r="I322" s="11">
        <v>32.070632076571613</v>
      </c>
      <c r="J322" s="11">
        <v>45.668224029532212</v>
      </c>
      <c r="K322" s="11">
        <v>106.06479571715451</v>
      </c>
      <c r="L322" s="11">
        <v>107.41083242043563</v>
      </c>
      <c r="M322" s="5"/>
    </row>
    <row r="323" spans="1:13" x14ac:dyDescent="0.25">
      <c r="A323" s="37">
        <v>6108</v>
      </c>
      <c r="B323" t="s">
        <v>65</v>
      </c>
      <c r="C323" t="s">
        <v>401</v>
      </c>
      <c r="D323" s="8">
        <v>2.27</v>
      </c>
      <c r="E323" s="8">
        <v>16.100000000000001</v>
      </c>
      <c r="F323" s="11">
        <v>24.487622125909059</v>
      </c>
      <c r="G323" s="11">
        <v>69.341438331007126</v>
      </c>
      <c r="H323" s="11">
        <v>6.1709395430838168</v>
      </c>
      <c r="I323" s="11">
        <v>31.123558363329167</v>
      </c>
      <c r="J323" s="11">
        <v>44.213910768106189</v>
      </c>
      <c r="K323" s="11">
        <v>104.83305496621978</v>
      </c>
      <c r="L323" s="11">
        <v>104.79251758223167</v>
      </c>
      <c r="M323" s="5"/>
    </row>
    <row r="324" spans="1:13" x14ac:dyDescent="0.25">
      <c r="A324" s="37">
        <v>6109</v>
      </c>
      <c r="B324" t="s">
        <v>65</v>
      </c>
      <c r="C324" t="s">
        <v>402</v>
      </c>
      <c r="D324" s="8">
        <v>2.2799999999999998</v>
      </c>
      <c r="E324" s="8">
        <v>15.66</v>
      </c>
      <c r="F324" s="11">
        <v>24.603933890971007</v>
      </c>
      <c r="G324" s="11">
        <v>69.095872135377817</v>
      </c>
      <c r="H324" s="11">
        <v>6.3001939736511803</v>
      </c>
      <c r="I324" s="11">
        <v>32.487953446323715</v>
      </c>
      <c r="J324" s="11">
        <v>44.726445892559994</v>
      </c>
      <c r="K324" s="11">
        <v>107.06243695875399</v>
      </c>
      <c r="L324" s="11">
        <v>109.6426144086996</v>
      </c>
      <c r="M324" s="5"/>
    </row>
    <row r="325" spans="1:13" x14ac:dyDescent="0.25">
      <c r="A325" s="37">
        <v>6110</v>
      </c>
      <c r="B325" t="s">
        <v>65</v>
      </c>
      <c r="C325" t="s">
        <v>403</v>
      </c>
      <c r="D325" s="8">
        <v>2.29</v>
      </c>
      <c r="E325" s="8">
        <v>14.99</v>
      </c>
      <c r="F325" s="11">
        <v>23.619117576609234</v>
      </c>
      <c r="G325" s="11">
        <v>70.477699886623128</v>
      </c>
      <c r="H325" s="11">
        <v>5.9031825367676412</v>
      </c>
      <c r="I325" s="11">
        <v>33.25335739265126</v>
      </c>
      <c r="J325" s="11">
        <v>41.888853014313952</v>
      </c>
      <c r="K325" s="11">
        <v>105.28765776102279</v>
      </c>
      <c r="L325" s="11">
        <v>102.58037842307506</v>
      </c>
      <c r="M325" s="5"/>
    </row>
    <row r="326" spans="1:13" x14ac:dyDescent="0.25">
      <c r="A326" s="37">
        <v>6111</v>
      </c>
      <c r="B326" t="s">
        <v>65</v>
      </c>
      <c r="C326" t="s">
        <v>404</v>
      </c>
      <c r="D326" s="8">
        <v>2.35</v>
      </c>
      <c r="E326" s="8">
        <v>17.829999999999998</v>
      </c>
      <c r="F326" s="11">
        <v>24.891919213645064</v>
      </c>
      <c r="G326" s="11">
        <v>69.242681694018458</v>
      </c>
      <c r="H326" s="11">
        <v>5.8653990923364807</v>
      </c>
      <c r="I326" s="11">
        <v>33.118964145140126</v>
      </c>
      <c r="J326" s="11">
        <v>44.419594321746963</v>
      </c>
      <c r="K326" s="11">
        <v>105.7880138097908</v>
      </c>
      <c r="L326" s="11">
        <v>105.13344287046493</v>
      </c>
      <c r="M326" s="5"/>
    </row>
    <row r="327" spans="1:13" x14ac:dyDescent="0.25">
      <c r="A327" s="37">
        <v>6112</v>
      </c>
      <c r="B327" t="s">
        <v>65</v>
      </c>
      <c r="C327" t="s">
        <v>405</v>
      </c>
      <c r="D327" s="8">
        <v>2.2599999999999998</v>
      </c>
      <c r="E327" s="8">
        <v>16.399999999999999</v>
      </c>
      <c r="F327" s="11">
        <v>25.319378908841529</v>
      </c>
      <c r="G327" s="11">
        <v>68.802916116913025</v>
      </c>
      <c r="H327" s="11">
        <v>5.8777049742454404</v>
      </c>
      <c r="I327" s="11">
        <v>32.798562813545928</v>
      </c>
      <c r="J327" s="11">
        <v>45.342676798866307</v>
      </c>
      <c r="K327" s="11">
        <v>104.32218543147222</v>
      </c>
      <c r="L327" s="11">
        <v>105.30819840418087</v>
      </c>
      <c r="M327" s="5"/>
    </row>
    <row r="328" spans="1:13" x14ac:dyDescent="0.25">
      <c r="A328" s="37">
        <v>6171</v>
      </c>
      <c r="B328" t="s">
        <v>65</v>
      </c>
      <c r="C328" t="s">
        <v>406</v>
      </c>
      <c r="D328" s="8">
        <v>2.02</v>
      </c>
      <c r="E328" s="8">
        <v>11.74</v>
      </c>
      <c r="F328" s="11">
        <v>23.652870099816344</v>
      </c>
      <c r="G328" s="11">
        <v>68.985584013175711</v>
      </c>
      <c r="H328" s="11">
        <v>7.3615458870079555</v>
      </c>
      <c r="I328" s="11">
        <v>31.064490592197338</v>
      </c>
      <c r="J328" s="11">
        <v>44.957821884787975</v>
      </c>
      <c r="K328" s="11">
        <v>99.83775107370613</v>
      </c>
      <c r="L328" s="11">
        <v>100.78763727526146</v>
      </c>
      <c r="M328" s="5"/>
    </row>
    <row r="329" spans="1:13" x14ac:dyDescent="0.25">
      <c r="A329" s="37">
        <v>6172</v>
      </c>
      <c r="B329" t="s">
        <v>65</v>
      </c>
      <c r="C329" t="s">
        <v>407</v>
      </c>
      <c r="D329" s="8">
        <v>2.36</v>
      </c>
      <c r="E329" s="8">
        <v>12.09</v>
      </c>
      <c r="F329" s="11">
        <v>26.421921467228838</v>
      </c>
      <c r="G329" s="11">
        <v>66.783526287591144</v>
      </c>
      <c r="H329" s="11">
        <v>6.794552245180026</v>
      </c>
      <c r="I329" s="11">
        <v>32.117372095009586</v>
      </c>
      <c r="J329" s="11">
        <v>49.737525942203384</v>
      </c>
      <c r="K329" s="11">
        <v>104.23902183738522</v>
      </c>
      <c r="L329" s="11">
        <v>105.6939678750808</v>
      </c>
      <c r="M329" s="5"/>
    </row>
    <row r="330" spans="1:13" x14ac:dyDescent="0.25">
      <c r="A330" s="38">
        <v>6201</v>
      </c>
      <c r="B330" t="s">
        <v>66</v>
      </c>
      <c r="C330" t="s">
        <v>408</v>
      </c>
      <c r="D330" s="8">
        <v>2.25</v>
      </c>
      <c r="E330" s="8">
        <v>16.47</v>
      </c>
      <c r="F330" s="11">
        <v>24.946631549764348</v>
      </c>
      <c r="G330" s="11">
        <v>69.245564180759629</v>
      </c>
      <c r="H330" s="11">
        <v>5.8078042694760192</v>
      </c>
      <c r="I330" s="11">
        <v>30.515663986692545</v>
      </c>
      <c r="J330" s="11">
        <v>44.413582563871579</v>
      </c>
      <c r="K330" s="11">
        <v>106.24834713992666</v>
      </c>
      <c r="L330" s="11">
        <v>104.48180572649375</v>
      </c>
      <c r="M330" s="5"/>
    </row>
    <row r="331" spans="1:13" x14ac:dyDescent="0.25">
      <c r="A331" s="38">
        <v>6202</v>
      </c>
      <c r="B331" t="s">
        <v>66</v>
      </c>
      <c r="C331" t="s">
        <v>409</v>
      </c>
      <c r="D331" s="8">
        <v>2.1800000000000002</v>
      </c>
      <c r="E331" s="8">
        <v>12.87</v>
      </c>
      <c r="F331" s="11">
        <v>23.553202280597432</v>
      </c>
      <c r="G331" s="11">
        <v>70.912982265906464</v>
      </c>
      <c r="H331" s="11">
        <v>5.5338154534960999</v>
      </c>
      <c r="I331" s="11">
        <v>33.148894679771942</v>
      </c>
      <c r="J331" s="11">
        <v>41.017902229840338</v>
      </c>
      <c r="K331" s="11">
        <v>106.1387735972348</v>
      </c>
      <c r="L331" s="11">
        <v>106.04277638873792</v>
      </c>
      <c r="M331" s="5"/>
    </row>
    <row r="332" spans="1:13" x14ac:dyDescent="0.25">
      <c r="A332" s="38">
        <v>6203</v>
      </c>
      <c r="B332" t="s">
        <v>66</v>
      </c>
      <c r="C332" t="s">
        <v>410</v>
      </c>
      <c r="D332" s="8">
        <v>2.37</v>
      </c>
      <c r="E332" s="8">
        <v>19.05</v>
      </c>
      <c r="F332" s="11">
        <v>23.133505383189895</v>
      </c>
      <c r="G332" s="11">
        <v>70.28365488466217</v>
      </c>
      <c r="H332" s="11">
        <v>6.5828397321479324</v>
      </c>
      <c r="I332" s="11">
        <v>33.349856182994344</v>
      </c>
      <c r="J332" s="11">
        <v>42.280591645530308</v>
      </c>
      <c r="K332" s="11">
        <v>105.65102522737368</v>
      </c>
      <c r="L332" s="11">
        <v>108.22709333030467</v>
      </c>
      <c r="M332" s="5"/>
    </row>
    <row r="333" spans="1:13" x14ac:dyDescent="0.25">
      <c r="A333" s="38">
        <v>6204</v>
      </c>
      <c r="B333" t="s">
        <v>66</v>
      </c>
      <c r="C333" t="s">
        <v>411</v>
      </c>
      <c r="D333" s="8">
        <v>2.1800000000000002</v>
      </c>
      <c r="E333" s="8">
        <v>18.52</v>
      </c>
      <c r="F333" s="11">
        <v>23.134268943204766</v>
      </c>
      <c r="G333" s="11">
        <v>69.87109428718253</v>
      </c>
      <c r="H333" s="11">
        <v>6.9946367696127041</v>
      </c>
      <c r="I333" s="11">
        <v>31.482379508261982</v>
      </c>
      <c r="J333" s="11">
        <v>43.120701085605369</v>
      </c>
      <c r="K333" s="11">
        <v>104.0782263186659</v>
      </c>
      <c r="L333" s="11">
        <v>105.8932121556376</v>
      </c>
      <c r="M333" s="5"/>
    </row>
    <row r="334" spans="1:13" x14ac:dyDescent="0.25">
      <c r="A334" s="38">
        <v>6205</v>
      </c>
      <c r="B334" t="s">
        <v>66</v>
      </c>
      <c r="C334" t="s">
        <v>412</v>
      </c>
      <c r="D334" s="8">
        <v>2.2400000000000002</v>
      </c>
      <c r="E334" s="8">
        <v>15.95</v>
      </c>
      <c r="F334" s="11">
        <v>23.582204239429942</v>
      </c>
      <c r="G334" s="11">
        <v>70.502284201489985</v>
      </c>
      <c r="H334" s="11">
        <v>5.915511559080076</v>
      </c>
      <c r="I334" s="11">
        <v>34.203591088912766</v>
      </c>
      <c r="J334" s="11">
        <v>41.839376032424511</v>
      </c>
      <c r="K334" s="11">
        <v>106.82252737702069</v>
      </c>
      <c r="L334" s="11">
        <v>107.24574421649935</v>
      </c>
      <c r="M334" s="5"/>
    </row>
    <row r="335" spans="1:13" x14ac:dyDescent="0.25">
      <c r="A335" s="38">
        <v>6206</v>
      </c>
      <c r="B335" t="s">
        <v>66</v>
      </c>
      <c r="C335" t="s">
        <v>413</v>
      </c>
      <c r="D335" s="8">
        <v>2.15</v>
      </c>
      <c r="E335" s="8">
        <v>13.24</v>
      </c>
      <c r="F335" s="11">
        <v>24.332069230988566</v>
      </c>
      <c r="G335" s="11">
        <v>71.094351458469959</v>
      </c>
      <c r="H335" s="11">
        <v>4.573579310541473</v>
      </c>
      <c r="I335" s="11">
        <v>33.912634370277438</v>
      </c>
      <c r="J335" s="11">
        <v>40.658150680810955</v>
      </c>
      <c r="K335" s="11">
        <v>108.63797257503198</v>
      </c>
      <c r="L335" s="11">
        <v>106.73561620024334</v>
      </c>
      <c r="M335" s="5"/>
    </row>
    <row r="336" spans="1:13" x14ac:dyDescent="0.25">
      <c r="A336" s="38">
        <v>6207</v>
      </c>
      <c r="B336" t="s">
        <v>66</v>
      </c>
      <c r="C336" t="s">
        <v>414</v>
      </c>
      <c r="D336" s="8">
        <v>2.17</v>
      </c>
      <c r="E336" s="8">
        <v>16.95</v>
      </c>
      <c r="F336" s="11">
        <v>24.216494845360824</v>
      </c>
      <c r="G336" s="11">
        <v>70.477975632614815</v>
      </c>
      <c r="H336" s="11">
        <v>5.3055295220243677</v>
      </c>
      <c r="I336" s="11">
        <v>33.379568884723525</v>
      </c>
      <c r="J336" s="11">
        <v>41.888297872340424</v>
      </c>
      <c r="K336" s="11">
        <v>113.65210948919726</v>
      </c>
      <c r="L336" s="11">
        <v>114.32181971356361</v>
      </c>
      <c r="M336" s="5"/>
    </row>
    <row r="337" spans="1:13" x14ac:dyDescent="0.25">
      <c r="A337" s="38">
        <v>6208</v>
      </c>
      <c r="B337" t="s">
        <v>66</v>
      </c>
      <c r="C337" t="s">
        <v>415</v>
      </c>
      <c r="D337" s="8">
        <v>2.17</v>
      </c>
      <c r="E337" s="8">
        <v>17.38</v>
      </c>
      <c r="F337" s="11">
        <v>24.570734520930852</v>
      </c>
      <c r="G337" s="11">
        <v>71.177096967411316</v>
      </c>
      <c r="H337" s="11">
        <v>4.2521685116578301</v>
      </c>
      <c r="I337" s="11">
        <v>33.385651219025227</v>
      </c>
      <c r="J337" s="11">
        <v>40.494631364054293</v>
      </c>
      <c r="K337" s="11">
        <v>111.5670284540921</v>
      </c>
      <c r="L337" s="11">
        <v>109.35174236627947</v>
      </c>
      <c r="M337" s="5"/>
    </row>
    <row r="338" spans="1:13" x14ac:dyDescent="0.25">
      <c r="A338" s="38">
        <v>6209</v>
      </c>
      <c r="B338" t="s">
        <v>66</v>
      </c>
      <c r="C338" t="s">
        <v>416</v>
      </c>
      <c r="D338" s="8">
        <v>2.4300000000000002</v>
      </c>
      <c r="E338" s="8">
        <v>13.38</v>
      </c>
      <c r="F338" s="11">
        <v>25.907990314769975</v>
      </c>
      <c r="G338" s="11">
        <v>68.76456744586001</v>
      </c>
      <c r="H338" s="11">
        <v>5.3274422393700078</v>
      </c>
      <c r="I338" s="11">
        <v>31.762123509311852</v>
      </c>
      <c r="J338" s="11">
        <v>45.423731602372669</v>
      </c>
      <c r="K338" s="11">
        <v>106.78505416344962</v>
      </c>
      <c r="L338" s="11">
        <v>104.39784476481724</v>
      </c>
      <c r="M338" s="5"/>
    </row>
    <row r="339" spans="1:13" x14ac:dyDescent="0.25">
      <c r="A339" s="38">
        <v>6210</v>
      </c>
      <c r="B339" t="s">
        <v>66</v>
      </c>
      <c r="C339" t="s">
        <v>417</v>
      </c>
      <c r="D339" s="8">
        <v>2.2000000000000002</v>
      </c>
      <c r="E339" s="8">
        <v>18</v>
      </c>
      <c r="F339" s="11">
        <v>24.269158194158898</v>
      </c>
      <c r="G339" s="11">
        <v>68.146421832314758</v>
      </c>
      <c r="H339" s="11">
        <v>7.5844199735263462</v>
      </c>
      <c r="I339" s="11">
        <v>31.483932745655785</v>
      </c>
      <c r="J339" s="11">
        <v>46.742847696488163</v>
      </c>
      <c r="K339" s="11">
        <v>107.13754429973604</v>
      </c>
      <c r="L339" s="11">
        <v>109.24660739354235</v>
      </c>
      <c r="M339" s="5"/>
    </row>
    <row r="340" spans="1:13" x14ac:dyDescent="0.25">
      <c r="A340" s="38">
        <v>6211</v>
      </c>
      <c r="B340" t="s">
        <v>66</v>
      </c>
      <c r="C340" t="s">
        <v>418</v>
      </c>
      <c r="D340" s="8">
        <v>2.33</v>
      </c>
      <c r="E340" s="8">
        <v>16.62</v>
      </c>
      <c r="F340" s="11">
        <v>25.857556502322375</v>
      </c>
      <c r="G340" s="11">
        <v>69.343307514427892</v>
      </c>
      <c r="H340" s="11">
        <v>4.7991359832497364</v>
      </c>
      <c r="I340" s="11">
        <v>35.810313868661503</v>
      </c>
      <c r="J340" s="11">
        <v>44.210023410252738</v>
      </c>
      <c r="K340" s="11">
        <v>109.97982608695651</v>
      </c>
      <c r="L340" s="11">
        <v>109.83033738401211</v>
      </c>
      <c r="M340" s="5"/>
    </row>
    <row r="341" spans="1:13" x14ac:dyDescent="0.25">
      <c r="A341" s="38">
        <v>6212</v>
      </c>
      <c r="B341" t="s">
        <v>66</v>
      </c>
      <c r="C341" t="s">
        <v>419</v>
      </c>
      <c r="D341" s="8">
        <v>2.16</v>
      </c>
      <c r="E341" s="8">
        <v>19.98</v>
      </c>
      <c r="F341" s="11">
        <v>22.593774152702636</v>
      </c>
      <c r="G341" s="11">
        <v>70.742135468911869</v>
      </c>
      <c r="H341" s="11">
        <v>6.6640903783854899</v>
      </c>
      <c r="I341" s="11">
        <v>32.186610974988078</v>
      </c>
      <c r="J341" s="11">
        <v>41.358469513470794</v>
      </c>
      <c r="K341" s="11">
        <v>104.13225914736488</v>
      </c>
      <c r="L341" s="11">
        <v>104.61007735730712</v>
      </c>
      <c r="M341" s="5"/>
    </row>
    <row r="342" spans="1:13" x14ac:dyDescent="0.25">
      <c r="A342" s="38">
        <v>6213</v>
      </c>
      <c r="B342" t="s">
        <v>66</v>
      </c>
      <c r="C342" t="s">
        <v>420</v>
      </c>
      <c r="D342" s="8">
        <v>2.36</v>
      </c>
      <c r="E342" s="8">
        <v>17.18</v>
      </c>
      <c r="F342" s="11">
        <v>26.250040984950324</v>
      </c>
      <c r="G342" s="11">
        <v>69.208826518902256</v>
      </c>
      <c r="H342" s="11">
        <v>4.5411324961474149</v>
      </c>
      <c r="I342" s="11">
        <v>34.174071281025611</v>
      </c>
      <c r="J342" s="11">
        <v>44.490240667045668</v>
      </c>
      <c r="K342" s="11">
        <v>106.85702658708627</v>
      </c>
      <c r="L342" s="11">
        <v>104.27752462149051</v>
      </c>
      <c r="M342" s="5"/>
    </row>
    <row r="343" spans="1:13" x14ac:dyDescent="0.25">
      <c r="A343" s="38">
        <v>6271</v>
      </c>
      <c r="B343" t="s">
        <v>66</v>
      </c>
      <c r="C343" t="s">
        <v>421</v>
      </c>
      <c r="D343" s="8">
        <v>2.14</v>
      </c>
      <c r="E343" s="8">
        <v>12.33</v>
      </c>
      <c r="F343" s="11">
        <v>24.551390720160736</v>
      </c>
      <c r="G343" s="11">
        <v>69.285803980661768</v>
      </c>
      <c r="H343" s="11">
        <v>6.1628052991774966</v>
      </c>
      <c r="I343" s="11">
        <v>32.998367551955795</v>
      </c>
      <c r="J343" s="11">
        <v>44.329710062844633</v>
      </c>
      <c r="K343" s="11">
        <v>99.869489377188245</v>
      </c>
      <c r="L343" s="11">
        <v>97.213831403966296</v>
      </c>
      <c r="M343" s="5"/>
    </row>
    <row r="344" spans="1:13" x14ac:dyDescent="0.25">
      <c r="A344" s="39">
        <v>6301</v>
      </c>
      <c r="B344" t="s">
        <v>67</v>
      </c>
      <c r="C344" t="s">
        <v>422</v>
      </c>
      <c r="D344" s="8">
        <v>2.15</v>
      </c>
      <c r="E344" s="8">
        <v>13.31</v>
      </c>
      <c r="F344" s="11">
        <v>25.319814550488847</v>
      </c>
      <c r="G344" s="11">
        <v>68.200184590948609</v>
      </c>
      <c r="H344" s="11">
        <v>6.4800008585625513</v>
      </c>
      <c r="I344" s="11">
        <v>30.096641947219865</v>
      </c>
      <c r="J344" s="11">
        <v>46.627169119527288</v>
      </c>
      <c r="K344" s="11">
        <v>104.24025557704849</v>
      </c>
      <c r="L344" s="11">
        <v>104.76616406848964</v>
      </c>
      <c r="M344" s="5"/>
    </row>
    <row r="345" spans="1:13" x14ac:dyDescent="0.25">
      <c r="A345" s="39">
        <v>6302</v>
      </c>
      <c r="B345" t="s">
        <v>67</v>
      </c>
      <c r="C345" t="s">
        <v>423</v>
      </c>
      <c r="D345" s="8">
        <v>2.5499999999999998</v>
      </c>
      <c r="E345" s="8">
        <v>14.99</v>
      </c>
      <c r="F345" s="11">
        <v>26.291050530708521</v>
      </c>
      <c r="G345" s="11">
        <v>68.520083008255455</v>
      </c>
      <c r="H345" s="11">
        <v>5.1888664610360156</v>
      </c>
      <c r="I345" s="11">
        <v>30.954594937857205</v>
      </c>
      <c r="J345" s="11">
        <v>45.942613624609528</v>
      </c>
      <c r="K345" s="11">
        <v>105.40030629298147</v>
      </c>
      <c r="L345" s="11">
        <v>105.83644384119444</v>
      </c>
      <c r="M345" s="5"/>
    </row>
    <row r="346" spans="1:13" x14ac:dyDescent="0.25">
      <c r="A346" s="39">
        <v>6303</v>
      </c>
      <c r="B346" t="s">
        <v>67</v>
      </c>
      <c r="C346" t="s">
        <v>424</v>
      </c>
      <c r="D346" s="8">
        <v>2.25</v>
      </c>
      <c r="E346" s="8">
        <v>17.36</v>
      </c>
      <c r="F346" s="11">
        <v>25.232949759168026</v>
      </c>
      <c r="G346" s="11">
        <v>68.419401727781448</v>
      </c>
      <c r="H346" s="11">
        <v>6.3476485130505216</v>
      </c>
      <c r="I346" s="11">
        <v>30.699568782226134</v>
      </c>
      <c r="J346" s="11">
        <v>46.157372725747408</v>
      </c>
      <c r="K346" s="11">
        <v>101.67310670905682</v>
      </c>
      <c r="L346" s="11">
        <v>103.47972393689986</v>
      </c>
      <c r="M346" s="5"/>
    </row>
    <row r="347" spans="1:13" x14ac:dyDescent="0.25">
      <c r="A347" s="39">
        <v>6304</v>
      </c>
      <c r="B347" t="s">
        <v>67</v>
      </c>
      <c r="C347" t="s">
        <v>425</v>
      </c>
      <c r="D347" s="8">
        <v>2.31</v>
      </c>
      <c r="E347" s="8">
        <v>20.12</v>
      </c>
      <c r="F347" s="11">
        <v>24.954078828650108</v>
      </c>
      <c r="G347" s="11">
        <v>68.609609794949108</v>
      </c>
      <c r="H347" s="11">
        <v>6.4363113764007798</v>
      </c>
      <c r="I347" s="11">
        <v>29.973226120256157</v>
      </c>
      <c r="J347" s="11">
        <v>45.752177135048768</v>
      </c>
      <c r="K347" s="11">
        <v>102.57613193224779</v>
      </c>
      <c r="L347" s="11">
        <v>106.57484302207818</v>
      </c>
      <c r="M347" s="5"/>
    </row>
    <row r="348" spans="1:13" x14ac:dyDescent="0.25">
      <c r="A348" s="39">
        <v>6305</v>
      </c>
      <c r="B348" t="s">
        <v>67</v>
      </c>
      <c r="C348" t="s">
        <v>426</v>
      </c>
      <c r="D348" s="8">
        <v>2.15</v>
      </c>
      <c r="E348" s="8">
        <v>13.23</v>
      </c>
      <c r="F348" s="11">
        <v>25.198297638120327</v>
      </c>
      <c r="G348" s="11">
        <v>68.071868764804748</v>
      </c>
      <c r="H348" s="11">
        <v>6.7298335970749257</v>
      </c>
      <c r="I348" s="11">
        <v>29.9092794448649</v>
      </c>
      <c r="J348" s="11">
        <v>46.903562094806297</v>
      </c>
      <c r="K348" s="11">
        <v>102.00734637148814</v>
      </c>
      <c r="L348" s="11">
        <v>102.87342911430382</v>
      </c>
      <c r="M348" s="5"/>
    </row>
    <row r="349" spans="1:13" x14ac:dyDescent="0.25">
      <c r="A349" s="39">
        <v>6306</v>
      </c>
      <c r="B349" t="s">
        <v>67</v>
      </c>
      <c r="C349" t="s">
        <v>427</v>
      </c>
      <c r="D349" s="8">
        <v>2.29</v>
      </c>
      <c r="E349" s="8">
        <v>19.72</v>
      </c>
      <c r="F349" s="11">
        <v>24.535772634027097</v>
      </c>
      <c r="G349" s="11">
        <v>67.982540546959143</v>
      </c>
      <c r="H349" s="11">
        <v>7.4816868190137704</v>
      </c>
      <c r="I349" s="11">
        <v>30.316964413671109</v>
      </c>
      <c r="J349" s="11">
        <v>47.096591559305907</v>
      </c>
      <c r="K349" s="11">
        <v>101.0976162048664</v>
      </c>
      <c r="L349" s="11">
        <v>107.58382864191994</v>
      </c>
      <c r="M349" s="5"/>
    </row>
    <row r="350" spans="1:13" x14ac:dyDescent="0.25">
      <c r="A350" s="39">
        <v>6307</v>
      </c>
      <c r="B350" t="s">
        <v>67</v>
      </c>
      <c r="C350" t="s">
        <v>428</v>
      </c>
      <c r="D350" s="8">
        <v>2.29</v>
      </c>
      <c r="E350" s="8">
        <v>19.899999999999999</v>
      </c>
      <c r="F350" s="11">
        <v>24.249101113741997</v>
      </c>
      <c r="G350" s="11">
        <v>67.828641585547672</v>
      </c>
      <c r="H350" s="11">
        <v>7.9222573007103394</v>
      </c>
      <c r="I350" s="11">
        <v>30.23290654506124</v>
      </c>
      <c r="J350" s="11">
        <v>47.430344560087917</v>
      </c>
      <c r="K350" s="11">
        <v>101.32119054274742</v>
      </c>
      <c r="L350" s="11">
        <v>109.86429930247306</v>
      </c>
      <c r="M350" s="5"/>
    </row>
    <row r="351" spans="1:13" x14ac:dyDescent="0.25">
      <c r="A351" s="39">
        <v>6308</v>
      </c>
      <c r="B351" t="s">
        <v>67</v>
      </c>
      <c r="C351" t="s">
        <v>429</v>
      </c>
      <c r="D351" s="8">
        <v>2.39</v>
      </c>
      <c r="E351" s="8">
        <v>20.84</v>
      </c>
      <c r="F351" s="11">
        <v>25.897592650727823</v>
      </c>
      <c r="G351" s="11">
        <v>67.073674470862315</v>
      </c>
      <c r="H351" s="11">
        <v>7.0287328784098602</v>
      </c>
      <c r="I351" s="11">
        <v>30.781686301075624</v>
      </c>
      <c r="J351" s="11">
        <v>49.089789382928934</v>
      </c>
      <c r="K351" s="11">
        <v>100.34260462267977</v>
      </c>
      <c r="L351" s="11">
        <v>108.4125741134355</v>
      </c>
      <c r="M351" s="5"/>
    </row>
    <row r="352" spans="1:13" x14ac:dyDescent="0.25">
      <c r="A352" s="39">
        <v>6309</v>
      </c>
      <c r="B352" t="s">
        <v>67</v>
      </c>
      <c r="C352" t="s">
        <v>430</v>
      </c>
      <c r="D352" s="8">
        <v>2.19</v>
      </c>
      <c r="E352" s="8">
        <v>12.79</v>
      </c>
      <c r="F352" s="11">
        <v>26.154414075920496</v>
      </c>
      <c r="G352" s="11">
        <v>67.843436816982333</v>
      </c>
      <c r="H352" s="11">
        <v>6.0021491070971704</v>
      </c>
      <c r="I352" s="11">
        <v>31.159494448140002</v>
      </c>
      <c r="J352" s="11">
        <v>47.398193092376403</v>
      </c>
      <c r="K352" s="11">
        <v>102.60211486626581</v>
      </c>
      <c r="L352" s="11">
        <v>103.44350316191387</v>
      </c>
      <c r="M352" s="5"/>
    </row>
    <row r="353" spans="1:13" x14ac:dyDescent="0.25">
      <c r="A353" s="39">
        <v>6310</v>
      </c>
      <c r="B353" t="s">
        <v>67</v>
      </c>
      <c r="C353" t="s">
        <v>431</v>
      </c>
      <c r="D353" s="8">
        <v>2.4300000000000002</v>
      </c>
      <c r="E353" s="8">
        <v>13.97</v>
      </c>
      <c r="F353" s="11">
        <v>28.739575995819038</v>
      </c>
      <c r="G353" s="11">
        <v>66.129371264968526</v>
      </c>
      <c r="H353" s="11">
        <v>5.1310527392124339</v>
      </c>
      <c r="I353" s="11">
        <v>29.550205639755507</v>
      </c>
      <c r="J353" s="11">
        <v>51.21873698045296</v>
      </c>
      <c r="K353" s="11">
        <v>104.28801039799002</v>
      </c>
      <c r="L353" s="11">
        <v>99.310331615548193</v>
      </c>
      <c r="M353" s="5"/>
    </row>
    <row r="354" spans="1:13" x14ac:dyDescent="0.25">
      <c r="A354" s="39">
        <v>6311</v>
      </c>
      <c r="B354" t="s">
        <v>67</v>
      </c>
      <c r="C354" t="s">
        <v>432</v>
      </c>
      <c r="D354" s="8">
        <v>2.29</v>
      </c>
      <c r="E354" s="8">
        <v>15.13</v>
      </c>
      <c r="F354" s="11">
        <v>26.651599321265373</v>
      </c>
      <c r="G354" s="11">
        <v>67.629146160291214</v>
      </c>
      <c r="H354" s="11">
        <v>5.7192545184434165</v>
      </c>
      <c r="I354" s="11">
        <v>31.812517161988048</v>
      </c>
      <c r="J354" s="11">
        <v>47.865241064828794</v>
      </c>
      <c r="K354" s="11">
        <v>102.19378167530321</v>
      </c>
      <c r="L354" s="11">
        <v>103.82082280765066</v>
      </c>
      <c r="M354" s="5"/>
    </row>
    <row r="355" spans="1:13" x14ac:dyDescent="0.25">
      <c r="A355" s="39">
        <v>6371</v>
      </c>
      <c r="B355" t="s">
        <v>67</v>
      </c>
      <c r="C355" t="s">
        <v>433</v>
      </c>
      <c r="D355" s="8">
        <v>2.14</v>
      </c>
      <c r="E355" s="8">
        <v>11.29</v>
      </c>
      <c r="F355" s="11">
        <v>24.194996640244518</v>
      </c>
      <c r="G355" s="11">
        <v>68.105216838024106</v>
      </c>
      <c r="H355" s="11">
        <v>7.6997865217313732</v>
      </c>
      <c r="I355" s="11">
        <v>29.370655360445269</v>
      </c>
      <c r="J355" s="11">
        <v>46.831630002488424</v>
      </c>
      <c r="K355" s="11">
        <v>99.966705312286336</v>
      </c>
      <c r="L355" s="11">
        <v>103.91276525472711</v>
      </c>
      <c r="M355" s="5"/>
    </row>
    <row r="356" spans="1:13" x14ac:dyDescent="0.25">
      <c r="A356" s="39">
        <v>6372</v>
      </c>
      <c r="B356" t="s">
        <v>67</v>
      </c>
      <c r="C356" t="s">
        <v>434</v>
      </c>
      <c r="D356" s="8">
        <v>2.11</v>
      </c>
      <c r="E356" s="8">
        <v>10.92</v>
      </c>
      <c r="F356" s="11">
        <v>25.991713572632964</v>
      </c>
      <c r="G356" s="11">
        <v>68.35739354193727</v>
      </c>
      <c r="H356" s="11">
        <v>5.6508928854297569</v>
      </c>
      <c r="I356" s="11">
        <v>30.678790054879101</v>
      </c>
      <c r="J356" s="11">
        <v>46.289954631827754</v>
      </c>
      <c r="K356" s="11">
        <v>100.54286823620768</v>
      </c>
      <c r="L356" s="11">
        <v>100.37245660420737</v>
      </c>
      <c r="M356" s="5"/>
    </row>
    <row r="357" spans="1:13" x14ac:dyDescent="0.25">
      <c r="A357" s="40">
        <v>6401</v>
      </c>
      <c r="B357" t="s">
        <v>68</v>
      </c>
      <c r="C357" t="s">
        <v>435</v>
      </c>
      <c r="D357" s="8">
        <v>2.17</v>
      </c>
      <c r="E357" s="8">
        <v>14.21</v>
      </c>
      <c r="F357" s="11">
        <v>24.251606570608736</v>
      </c>
      <c r="G357" s="11">
        <v>69.876501831439199</v>
      </c>
      <c r="H357" s="11">
        <v>5.8718915979520707</v>
      </c>
      <c r="I357" s="11">
        <v>32.173136839801224</v>
      </c>
      <c r="J357" s="11">
        <v>43.109625380541715</v>
      </c>
      <c r="K357" s="11">
        <v>107.21367472910627</v>
      </c>
      <c r="L357" s="11">
        <v>107.6644591611479</v>
      </c>
      <c r="M357" s="5"/>
    </row>
    <row r="358" spans="1:13" x14ac:dyDescent="0.25">
      <c r="A358" s="40">
        <v>6402</v>
      </c>
      <c r="B358" t="s">
        <v>68</v>
      </c>
      <c r="C358" t="s">
        <v>436</v>
      </c>
      <c r="D358" s="8">
        <v>2.19</v>
      </c>
      <c r="E358" s="8">
        <v>14.62</v>
      </c>
      <c r="F358" s="11">
        <v>22.839400922926302</v>
      </c>
      <c r="G358" s="11">
        <v>70.996573402341966</v>
      </c>
      <c r="H358" s="11">
        <v>6.1640256747317297</v>
      </c>
      <c r="I358" s="11">
        <v>32.849136200381714</v>
      </c>
      <c r="J358" s="11">
        <v>40.851868206784886</v>
      </c>
      <c r="K358" s="11">
        <v>109.82216015972116</v>
      </c>
      <c r="L358" s="11">
        <v>108.55536543632365</v>
      </c>
      <c r="M358" s="5"/>
    </row>
    <row r="359" spans="1:13" x14ac:dyDescent="0.25">
      <c r="A359" s="40">
        <v>6403</v>
      </c>
      <c r="B359" t="s">
        <v>68</v>
      </c>
      <c r="C359" t="s">
        <v>437</v>
      </c>
      <c r="D359" s="8">
        <v>2.0699999999999998</v>
      </c>
      <c r="E359" s="8">
        <v>13.3</v>
      </c>
      <c r="F359" s="11">
        <v>23.006332426791758</v>
      </c>
      <c r="G359" s="11">
        <v>71.56399582144472</v>
      </c>
      <c r="H359" s="11">
        <v>5.4296717517635242</v>
      </c>
      <c r="I359" s="11">
        <v>35.524958849249039</v>
      </c>
      <c r="J359" s="11">
        <v>39.735070480838367</v>
      </c>
      <c r="K359" s="11">
        <v>107.08440959409593</v>
      </c>
      <c r="L359" s="11">
        <v>105.23403570854111</v>
      </c>
      <c r="M359" s="5"/>
    </row>
    <row r="360" spans="1:13" x14ac:dyDescent="0.25">
      <c r="A360" s="40">
        <v>6404</v>
      </c>
      <c r="B360" t="s">
        <v>68</v>
      </c>
      <c r="C360" t="s">
        <v>438</v>
      </c>
      <c r="D360" s="8">
        <v>2.15</v>
      </c>
      <c r="E360" s="8">
        <v>12.84</v>
      </c>
      <c r="F360" s="11">
        <v>23.34669611362899</v>
      </c>
      <c r="G360" s="11">
        <v>72.550686107244161</v>
      </c>
      <c r="H360" s="11">
        <v>4.1026177791268488</v>
      </c>
      <c r="I360" s="11">
        <v>35.495452119029927</v>
      </c>
      <c r="J360" s="11">
        <v>37.834671683435715</v>
      </c>
      <c r="K360" s="11">
        <v>114.34661066763587</v>
      </c>
      <c r="L360" s="11">
        <v>114.66823654525429</v>
      </c>
      <c r="M360" s="5"/>
    </row>
    <row r="361" spans="1:13" x14ac:dyDescent="0.25">
      <c r="A361" s="40">
        <v>6405</v>
      </c>
      <c r="B361" t="s">
        <v>68</v>
      </c>
      <c r="C361" t="s">
        <v>439</v>
      </c>
      <c r="D361" s="8">
        <v>2.2799999999999998</v>
      </c>
      <c r="E361" s="8">
        <v>15.24</v>
      </c>
      <c r="F361" s="11">
        <v>24.646338331677143</v>
      </c>
      <c r="G361" s="11">
        <v>70.650826792313794</v>
      </c>
      <c r="H361" s="11">
        <v>4.7028348760090664</v>
      </c>
      <c r="I361" s="11">
        <v>33.369434550725934</v>
      </c>
      <c r="J361" s="11">
        <v>41.541160295209949</v>
      </c>
      <c r="K361" s="11">
        <v>112.76398622164152</v>
      </c>
      <c r="L361" s="11">
        <v>114.20550923381991</v>
      </c>
      <c r="M361" s="5"/>
    </row>
    <row r="362" spans="1:13" x14ac:dyDescent="0.25">
      <c r="A362" s="40">
        <v>6409</v>
      </c>
      <c r="B362" t="s">
        <v>68</v>
      </c>
      <c r="C362" t="s">
        <v>440</v>
      </c>
      <c r="D362" s="8">
        <v>2.2799999999999998</v>
      </c>
      <c r="E362" s="8">
        <v>13.94</v>
      </c>
      <c r="F362" s="11">
        <v>18.982472367033068</v>
      </c>
      <c r="G362" s="11">
        <v>77.60602192291816</v>
      </c>
      <c r="H362" s="11">
        <v>3.4115057100487687</v>
      </c>
      <c r="I362" s="11">
        <v>49.250317224931592</v>
      </c>
      <c r="J362" s="11">
        <v>28.855979886875989</v>
      </c>
      <c r="K362" s="11">
        <v>104.92328417359158</v>
      </c>
      <c r="L362" s="11">
        <v>99.670728967328571</v>
      </c>
      <c r="M362" s="5"/>
    </row>
    <row r="363" spans="1:13" x14ac:dyDescent="0.25">
      <c r="A363" s="40">
        <v>6411</v>
      </c>
      <c r="B363" t="s">
        <v>68</v>
      </c>
      <c r="C363" t="s">
        <v>441</v>
      </c>
      <c r="D363" s="8">
        <v>2.31</v>
      </c>
      <c r="E363" s="8">
        <v>15.9</v>
      </c>
      <c r="F363" s="11">
        <v>23.563626046247695</v>
      </c>
      <c r="G363" s="11">
        <v>69.516243438785636</v>
      </c>
      <c r="H363" s="11">
        <v>6.9201305149666617</v>
      </c>
      <c r="I363" s="11">
        <v>35.52276918711874</v>
      </c>
      <c r="J363" s="11">
        <v>43.851271376678504</v>
      </c>
      <c r="K363" s="11">
        <v>104.87705632738475</v>
      </c>
      <c r="L363" s="11">
        <v>93.060909791827299</v>
      </c>
      <c r="M363" s="5"/>
    </row>
    <row r="364" spans="1:13" x14ac:dyDescent="0.25">
      <c r="A364" s="40">
        <v>6471</v>
      </c>
      <c r="B364" t="s">
        <v>68</v>
      </c>
      <c r="C364" t="s">
        <v>442</v>
      </c>
      <c r="D364" s="8">
        <v>2.04</v>
      </c>
      <c r="E364" s="8">
        <v>10.55</v>
      </c>
      <c r="F364" s="11">
        <v>23.362440074356716</v>
      </c>
      <c r="G364" s="11">
        <v>69.661318201089259</v>
      </c>
      <c r="H364" s="11">
        <v>6.9762417245540238</v>
      </c>
      <c r="I364" s="11">
        <v>31.722814684364437</v>
      </c>
      <c r="J364" s="11">
        <v>43.5516906403249</v>
      </c>
      <c r="K364" s="11">
        <v>103.76907102312059</v>
      </c>
      <c r="L364" s="11">
        <v>106.24790175810584</v>
      </c>
      <c r="M364" s="5"/>
    </row>
    <row r="365" spans="1:13" x14ac:dyDescent="0.25">
      <c r="A365" s="40">
        <v>6472</v>
      </c>
      <c r="B365" t="s">
        <v>68</v>
      </c>
      <c r="C365" t="s">
        <v>443</v>
      </c>
      <c r="D365" s="8">
        <v>1.98</v>
      </c>
      <c r="E365" s="8">
        <v>12.36</v>
      </c>
      <c r="F365" s="11">
        <v>22.478350487099711</v>
      </c>
      <c r="G365" s="11">
        <v>70.872721269829626</v>
      </c>
      <c r="H365" s="11">
        <v>6.6489282430706664</v>
      </c>
      <c r="I365" s="11">
        <v>31.912883781608748</v>
      </c>
      <c r="J365" s="11">
        <v>41.098010924789762</v>
      </c>
      <c r="K365" s="11">
        <v>102.74210117744403</v>
      </c>
      <c r="L365" s="11">
        <v>103.00002916897589</v>
      </c>
      <c r="M365" s="5"/>
    </row>
    <row r="366" spans="1:13" x14ac:dyDescent="0.25">
      <c r="A366" s="40">
        <v>6474</v>
      </c>
      <c r="B366" t="s">
        <v>68</v>
      </c>
      <c r="C366" t="s">
        <v>444</v>
      </c>
      <c r="D366" s="8">
        <v>2.0699999999999998</v>
      </c>
      <c r="E366" s="8">
        <v>12.83</v>
      </c>
      <c r="F366" s="11">
        <v>25.129339140432013</v>
      </c>
      <c r="G366" s="11">
        <v>69.775812156584522</v>
      </c>
      <c r="H366" s="11">
        <v>5.0948487029834748</v>
      </c>
      <c r="I366" s="11">
        <v>34.867450038063765</v>
      </c>
      <c r="J366" s="11">
        <v>43.31613908783909</v>
      </c>
      <c r="K366" s="11">
        <v>103.90390707497362</v>
      </c>
      <c r="L366" s="11">
        <v>101.97390130493476</v>
      </c>
      <c r="M366" s="5"/>
    </row>
    <row r="367" spans="1:13" x14ac:dyDescent="0.25">
      <c r="A367" s="41">
        <v>6501</v>
      </c>
      <c r="B367" t="s">
        <v>69</v>
      </c>
      <c r="C367" t="s">
        <v>445</v>
      </c>
      <c r="D367" s="8">
        <v>2.25</v>
      </c>
      <c r="E367" s="8">
        <v>15.62</v>
      </c>
      <c r="F367" s="11">
        <v>24.383515178924757</v>
      </c>
      <c r="G367" s="11">
        <v>70.410989880716841</v>
      </c>
      <c r="H367" s="11">
        <v>5.205494940358415</v>
      </c>
      <c r="I367" s="11">
        <v>34.544632257335067</v>
      </c>
      <c r="J367" s="11">
        <v>42.023283821758326</v>
      </c>
      <c r="K367" s="11">
        <v>112.44475403535741</v>
      </c>
      <c r="L367" s="11">
        <v>112.1736111111111</v>
      </c>
      <c r="M367" s="5"/>
    </row>
    <row r="368" spans="1:13" x14ac:dyDescent="0.25">
      <c r="A368" s="41">
        <v>6502</v>
      </c>
      <c r="B368" t="s">
        <v>69</v>
      </c>
      <c r="C368" t="s">
        <v>446</v>
      </c>
      <c r="D368" s="8">
        <v>2.29</v>
      </c>
      <c r="E368" s="8">
        <v>13.29</v>
      </c>
      <c r="F368" s="11">
        <v>23.537098264209654</v>
      </c>
      <c r="G368" s="11">
        <v>70.488525307531475</v>
      </c>
      <c r="H368" s="11">
        <v>5.9743764282588607</v>
      </c>
      <c r="I368" s="11">
        <v>33.269922691690574</v>
      </c>
      <c r="J368" s="11">
        <v>41.867062140559931</v>
      </c>
      <c r="K368" s="11">
        <v>112.661238206023</v>
      </c>
      <c r="L368" s="11">
        <v>114.07453756208206</v>
      </c>
      <c r="M368" s="5"/>
    </row>
    <row r="369" spans="1:13" x14ac:dyDescent="0.25">
      <c r="A369" s="41">
        <v>6503</v>
      </c>
      <c r="B369" t="s">
        <v>69</v>
      </c>
      <c r="C369" t="s">
        <v>447</v>
      </c>
      <c r="D369" s="8">
        <v>2.77</v>
      </c>
      <c r="E369" s="8">
        <v>14.25</v>
      </c>
      <c r="F369" s="11">
        <v>27.745370684392594</v>
      </c>
      <c r="G369" s="11">
        <v>68.032286508851655</v>
      </c>
      <c r="H369" s="11">
        <v>4.2223428067557487</v>
      </c>
      <c r="I369" s="11">
        <v>31.737095570779356</v>
      </c>
      <c r="J369" s="11">
        <v>46.989032901296113</v>
      </c>
      <c r="K369" s="11">
        <v>111.46012621916238</v>
      </c>
      <c r="L369" s="11">
        <v>104.81505799956227</v>
      </c>
      <c r="M369" s="5"/>
    </row>
    <row r="370" spans="1:13" x14ac:dyDescent="0.25">
      <c r="A370" s="41">
        <v>6504</v>
      </c>
      <c r="B370" t="s">
        <v>69</v>
      </c>
      <c r="C370" t="s">
        <v>448</v>
      </c>
      <c r="D370" s="8">
        <v>2.2999999999999998</v>
      </c>
      <c r="E370" s="8">
        <v>15.55</v>
      </c>
      <c r="F370" s="11">
        <v>23.473752131631102</v>
      </c>
      <c r="G370" s="11">
        <v>71.122274968889712</v>
      </c>
      <c r="H370" s="11">
        <v>5.4039728994791902</v>
      </c>
      <c r="I370" s="11">
        <v>33.92911462414159</v>
      </c>
      <c r="J370" s="11">
        <v>40.602926500511941</v>
      </c>
      <c r="K370" s="11">
        <v>111.6078569060019</v>
      </c>
      <c r="L370" s="11">
        <v>113.29933648190537</v>
      </c>
      <c r="M370" s="5"/>
    </row>
    <row r="371" spans="1:13" x14ac:dyDescent="0.25">
      <c r="A371" s="41">
        <v>6571</v>
      </c>
      <c r="B371" t="s">
        <v>69</v>
      </c>
      <c r="C371" t="s">
        <v>449</v>
      </c>
      <c r="D371" s="8">
        <v>2.19</v>
      </c>
      <c r="E371" s="8">
        <v>12.62</v>
      </c>
      <c r="F371" s="11">
        <v>24.470185396551191</v>
      </c>
      <c r="G371" s="11">
        <v>69.994910078045464</v>
      </c>
      <c r="H371" s="11">
        <v>5.5349045254033378</v>
      </c>
      <c r="I371" s="11">
        <v>32.616374124687667</v>
      </c>
      <c r="J371" s="11">
        <v>42.867531208338384</v>
      </c>
      <c r="K371" s="11">
        <v>106.21173327396194</v>
      </c>
      <c r="L371" s="11">
        <v>105.53031223423643</v>
      </c>
      <c r="M371" s="5"/>
    </row>
    <row r="372" spans="1:13" x14ac:dyDescent="0.25">
      <c r="A372" s="42">
        <v>7101</v>
      </c>
      <c r="B372" t="s">
        <v>70</v>
      </c>
      <c r="C372" t="s">
        <v>450</v>
      </c>
      <c r="D372" s="8">
        <v>2.16</v>
      </c>
      <c r="E372" s="8">
        <v>21.55</v>
      </c>
      <c r="F372" s="11">
        <v>22.70139786838461</v>
      </c>
      <c r="G372" s="11">
        <v>69.098845438756229</v>
      </c>
      <c r="H372" s="11">
        <v>8.1997566928591663</v>
      </c>
      <c r="I372" s="11">
        <v>29.983014407149248</v>
      </c>
      <c r="J372" s="11">
        <v>44.720218355358952</v>
      </c>
      <c r="K372" s="11">
        <v>109.81161758449917</v>
      </c>
      <c r="L372" s="11">
        <v>114.69661690179427</v>
      </c>
      <c r="M372" s="5"/>
    </row>
    <row r="373" spans="1:13" x14ac:dyDescent="0.25">
      <c r="A373" s="42">
        <v>7102</v>
      </c>
      <c r="B373" t="s">
        <v>70</v>
      </c>
      <c r="C373" t="s">
        <v>451</v>
      </c>
      <c r="D373" s="8">
        <v>1.99</v>
      </c>
      <c r="E373" s="8">
        <v>12.63</v>
      </c>
      <c r="F373" s="11">
        <v>20.346359190632153</v>
      </c>
      <c r="G373" s="11">
        <v>67.278422091614701</v>
      </c>
      <c r="H373" s="11">
        <v>12.375218717753151</v>
      </c>
      <c r="I373" s="11">
        <v>28.469760868589887</v>
      </c>
      <c r="J373" s="11">
        <v>48.636066202366514</v>
      </c>
      <c r="K373" s="11">
        <v>103.0622412781925</v>
      </c>
      <c r="L373" s="11">
        <v>106.18577636976565</v>
      </c>
      <c r="M373" s="5"/>
    </row>
    <row r="374" spans="1:13" x14ac:dyDescent="0.25">
      <c r="A374" s="42">
        <v>7103</v>
      </c>
      <c r="B374" t="s">
        <v>70</v>
      </c>
      <c r="C374" t="s">
        <v>452</v>
      </c>
      <c r="D374" s="8">
        <v>2.0699999999999998</v>
      </c>
      <c r="E374" s="8">
        <v>14.08</v>
      </c>
      <c r="F374" s="11">
        <v>20.154008088194562</v>
      </c>
      <c r="G374" s="11">
        <v>69.18245526563625</v>
      </c>
      <c r="H374" s="11">
        <v>10.663536646169188</v>
      </c>
      <c r="I374" s="11">
        <v>30.0689712481303</v>
      </c>
      <c r="J374" s="11">
        <v>44.54531805214954</v>
      </c>
      <c r="K374" s="11">
        <v>103.86244282568187</v>
      </c>
      <c r="L374" s="11">
        <v>108.62922212078989</v>
      </c>
      <c r="M374" s="5"/>
    </row>
    <row r="375" spans="1:13" x14ac:dyDescent="0.25">
      <c r="A375" s="42">
        <v>7104</v>
      </c>
      <c r="B375" t="s">
        <v>70</v>
      </c>
      <c r="C375" t="s">
        <v>453</v>
      </c>
      <c r="D375" s="8">
        <v>2.16</v>
      </c>
      <c r="E375" s="8">
        <v>17.97</v>
      </c>
      <c r="F375" s="11">
        <v>21.645185746777862</v>
      </c>
      <c r="G375" s="11">
        <v>68.703363792346678</v>
      </c>
      <c r="H375" s="11">
        <v>9.6514504608754645</v>
      </c>
      <c r="I375" s="11">
        <v>30.363912054586805</v>
      </c>
      <c r="J375" s="11">
        <v>45.553280771297061</v>
      </c>
      <c r="K375" s="11">
        <v>105.43487171079597</v>
      </c>
      <c r="L375" s="11">
        <v>109.33975240715267</v>
      </c>
      <c r="M375" s="5"/>
    </row>
    <row r="376" spans="1:13" x14ac:dyDescent="0.25">
      <c r="A376" s="42">
        <v>7105</v>
      </c>
      <c r="B376" t="s">
        <v>70</v>
      </c>
      <c r="C376" t="s">
        <v>454</v>
      </c>
      <c r="D376" s="8">
        <v>2.06</v>
      </c>
      <c r="E376" s="8">
        <v>14.84</v>
      </c>
      <c r="F376" s="11">
        <v>21.201227819635264</v>
      </c>
      <c r="G376" s="11">
        <v>67.248157449812055</v>
      </c>
      <c r="H376" s="11">
        <v>11.550614730552683</v>
      </c>
      <c r="I376" s="11">
        <v>28.825856437024999</v>
      </c>
      <c r="J376" s="11">
        <v>48.702958998736825</v>
      </c>
      <c r="K376" s="11">
        <v>105.24906086282701</v>
      </c>
      <c r="L376" s="11">
        <v>109.05952380952382</v>
      </c>
      <c r="M376" s="5"/>
    </row>
    <row r="377" spans="1:13" x14ac:dyDescent="0.25">
      <c r="A377" s="42">
        <v>7106</v>
      </c>
      <c r="B377" t="s">
        <v>70</v>
      </c>
      <c r="C377" t="s">
        <v>455</v>
      </c>
      <c r="D377" s="8">
        <v>2.02</v>
      </c>
      <c r="E377" s="8">
        <v>12.86</v>
      </c>
      <c r="F377" s="11">
        <v>21.964342807141534</v>
      </c>
      <c r="G377" s="11">
        <v>68.659447725781206</v>
      </c>
      <c r="H377" s="11">
        <v>9.3762094670772544</v>
      </c>
      <c r="I377" s="11">
        <v>30.495818399044204</v>
      </c>
      <c r="J377" s="11">
        <v>45.64637979523188</v>
      </c>
      <c r="K377" s="11">
        <v>102.72738902392223</v>
      </c>
      <c r="L377" s="11">
        <v>105.63072646299605</v>
      </c>
      <c r="M377" s="5"/>
    </row>
    <row r="378" spans="1:13" x14ac:dyDescent="0.25">
      <c r="A378" s="42">
        <v>7107</v>
      </c>
      <c r="B378" t="s">
        <v>70</v>
      </c>
      <c r="C378" t="s">
        <v>456</v>
      </c>
      <c r="D378" s="8">
        <v>2.19</v>
      </c>
      <c r="E378" s="8">
        <v>16.7</v>
      </c>
      <c r="F378" s="11">
        <v>24.576935130053272</v>
      </c>
      <c r="G378" s="11">
        <v>68.064198415185558</v>
      </c>
      <c r="H378" s="11">
        <v>7.3588664547611593</v>
      </c>
      <c r="I378" s="11">
        <v>30.947531002372745</v>
      </c>
      <c r="J378" s="11">
        <v>46.920117078304337</v>
      </c>
      <c r="K378" s="11">
        <v>104.91250602022797</v>
      </c>
      <c r="L378" s="11">
        <v>104.73123056419369</v>
      </c>
      <c r="M378" s="5"/>
    </row>
    <row r="379" spans="1:13" x14ac:dyDescent="0.25">
      <c r="A379" s="42">
        <v>7108</v>
      </c>
      <c r="B379" t="s">
        <v>70</v>
      </c>
      <c r="C379" t="s">
        <v>457</v>
      </c>
      <c r="D379" s="8">
        <v>2.06</v>
      </c>
      <c r="E379" s="8">
        <v>14.84</v>
      </c>
      <c r="F379" s="11">
        <v>20.028556940404069</v>
      </c>
      <c r="G379" s="11">
        <v>68.628733086017775</v>
      </c>
      <c r="H379" s="11">
        <v>11.342709973578158</v>
      </c>
      <c r="I379" s="11">
        <v>30.003469534815448</v>
      </c>
      <c r="J379" s="11">
        <v>45.711563514748491</v>
      </c>
      <c r="K379" s="11">
        <v>101.37586327358719</v>
      </c>
      <c r="L379" s="11">
        <v>107.01592855169875</v>
      </c>
      <c r="M379" s="5"/>
    </row>
    <row r="380" spans="1:13" x14ac:dyDescent="0.25">
      <c r="A380" s="42">
        <v>7109</v>
      </c>
      <c r="B380" t="s">
        <v>70</v>
      </c>
      <c r="C380" t="s">
        <v>458</v>
      </c>
      <c r="D380" s="8">
        <v>2.2400000000000002</v>
      </c>
      <c r="E380" s="8">
        <v>18.03</v>
      </c>
      <c r="F380" s="11">
        <v>23.791851882060275</v>
      </c>
      <c r="G380" s="11">
        <v>67.221565189021661</v>
      </c>
      <c r="H380" s="11">
        <v>8.9865829289180699</v>
      </c>
      <c r="I380" s="11">
        <v>29.549365849679866</v>
      </c>
      <c r="J380" s="11">
        <v>48.761784583277723</v>
      </c>
      <c r="K380" s="11">
        <v>105.6751270738622</v>
      </c>
      <c r="L380" s="11">
        <v>108.88491697416973</v>
      </c>
      <c r="M380" s="5"/>
    </row>
    <row r="381" spans="1:13" x14ac:dyDescent="0.25">
      <c r="A381" s="42">
        <v>7110</v>
      </c>
      <c r="B381" t="s">
        <v>70</v>
      </c>
      <c r="C381" t="s">
        <v>459</v>
      </c>
      <c r="D381" s="8">
        <v>2.27</v>
      </c>
      <c r="E381" s="8">
        <v>23.44</v>
      </c>
      <c r="F381" s="11">
        <v>25.686669351590819</v>
      </c>
      <c r="G381" s="11">
        <v>68.309840247013014</v>
      </c>
      <c r="H381" s="11">
        <v>6.0034904013961601</v>
      </c>
      <c r="I381" s="11">
        <v>31.610954490535644</v>
      </c>
      <c r="J381" s="11">
        <v>46.391793098026888</v>
      </c>
      <c r="K381" s="11">
        <v>106.91666666666666</v>
      </c>
      <c r="L381" s="11">
        <v>107.70044985445885</v>
      </c>
      <c r="M381" s="5"/>
    </row>
    <row r="382" spans="1:13" x14ac:dyDescent="0.25">
      <c r="A382" s="42">
        <v>7111</v>
      </c>
      <c r="B382" t="s">
        <v>70</v>
      </c>
      <c r="C382" t="s">
        <v>460</v>
      </c>
      <c r="D382" s="8">
        <v>2.14</v>
      </c>
      <c r="E382" s="8">
        <v>17.97</v>
      </c>
      <c r="F382" s="11">
        <v>22.48678932959827</v>
      </c>
      <c r="G382" s="11">
        <v>69.852082935421578</v>
      </c>
      <c r="H382" s="11">
        <v>7.6611277349801572</v>
      </c>
      <c r="I382" s="11">
        <v>31.051972581227055</v>
      </c>
      <c r="J382" s="11">
        <v>43.159653653349537</v>
      </c>
      <c r="K382" s="11">
        <v>107.49466082476498</v>
      </c>
      <c r="L382" s="11">
        <v>106.91508166584175</v>
      </c>
      <c r="M382" s="5"/>
    </row>
    <row r="383" spans="1:13" x14ac:dyDescent="0.25">
      <c r="A383" s="42">
        <v>7171</v>
      </c>
      <c r="B383" t="s">
        <v>70</v>
      </c>
      <c r="C383" t="s">
        <v>461</v>
      </c>
      <c r="D383" s="8">
        <v>2.0099999999999998</v>
      </c>
      <c r="E383" s="8">
        <v>11.7</v>
      </c>
      <c r="F383" s="11">
        <v>22.028242055034472</v>
      </c>
      <c r="G383" s="11">
        <v>68.474040261970302</v>
      </c>
      <c r="H383" s="11">
        <v>9.4977176829952281</v>
      </c>
      <c r="I383" s="11">
        <v>30.116445625630984</v>
      </c>
      <c r="J383" s="11">
        <v>46.040747146534102</v>
      </c>
      <c r="K383" s="11">
        <v>100.21941190698318</v>
      </c>
      <c r="L383" s="11">
        <v>104.29190201644765</v>
      </c>
      <c r="M383" s="5"/>
    </row>
    <row r="384" spans="1:13" x14ac:dyDescent="0.25">
      <c r="A384" s="42">
        <v>7172</v>
      </c>
      <c r="B384" t="s">
        <v>70</v>
      </c>
      <c r="C384" t="s">
        <v>462</v>
      </c>
      <c r="D384" s="8">
        <v>2.12</v>
      </c>
      <c r="E384" s="8">
        <v>13.22</v>
      </c>
      <c r="F384" s="11">
        <v>23.044112741827885</v>
      </c>
      <c r="G384" s="11">
        <v>69.847815210140098</v>
      </c>
      <c r="H384" s="11">
        <v>7.108072048032021</v>
      </c>
      <c r="I384" s="11">
        <v>30.978569046030685</v>
      </c>
      <c r="J384" s="11">
        <v>43.168400756910991</v>
      </c>
      <c r="K384" s="11">
        <v>104.71849499812215</v>
      </c>
      <c r="L384" s="11">
        <v>108.41818844848383</v>
      </c>
      <c r="M384" s="5"/>
    </row>
    <row r="385" spans="1:13" x14ac:dyDescent="0.25">
      <c r="A385" s="42">
        <v>7173</v>
      </c>
      <c r="B385" t="s">
        <v>70</v>
      </c>
      <c r="C385" t="s">
        <v>463</v>
      </c>
      <c r="D385" s="8">
        <v>2.0499999999999998</v>
      </c>
      <c r="E385" s="8">
        <v>11.85</v>
      </c>
      <c r="F385" s="11">
        <v>21.852135805624179</v>
      </c>
      <c r="G385" s="11">
        <v>67.303669629251033</v>
      </c>
      <c r="H385" s="11">
        <v>10.844194565124797</v>
      </c>
      <c r="I385" s="11">
        <v>28.792912513842744</v>
      </c>
      <c r="J385" s="11">
        <v>48.580308549087988</v>
      </c>
      <c r="K385" s="11">
        <v>101.48177813376051</v>
      </c>
      <c r="L385" s="11">
        <v>104.20218836007248</v>
      </c>
      <c r="M385" s="5"/>
    </row>
    <row r="386" spans="1:13" x14ac:dyDescent="0.25">
      <c r="A386" s="42">
        <v>7174</v>
      </c>
      <c r="B386" t="s">
        <v>70</v>
      </c>
      <c r="C386" t="s">
        <v>464</v>
      </c>
      <c r="D386" s="8">
        <v>2.08</v>
      </c>
      <c r="E386" s="8">
        <v>14.06</v>
      </c>
      <c r="F386" s="11">
        <v>22.930284464891702</v>
      </c>
      <c r="G386" s="11">
        <v>69.380736556813261</v>
      </c>
      <c r="H386" s="11">
        <v>7.6889789782950331</v>
      </c>
      <c r="I386" s="11">
        <v>30.502349663303498</v>
      </c>
      <c r="J386" s="11">
        <v>44.132225979056564</v>
      </c>
      <c r="K386" s="11">
        <v>103.24805579558078</v>
      </c>
      <c r="L386" s="11">
        <v>103.08329963606954</v>
      </c>
      <c r="M386" s="5"/>
    </row>
    <row r="387" spans="1:13" x14ac:dyDescent="0.25">
      <c r="A387" s="43">
        <v>7201</v>
      </c>
      <c r="B387" t="s">
        <v>71</v>
      </c>
      <c r="C387" t="s">
        <v>465</v>
      </c>
      <c r="D387" s="8">
        <v>2.33</v>
      </c>
      <c r="E387" s="8">
        <v>36.83</v>
      </c>
      <c r="F387" s="11">
        <v>25.486934930831989</v>
      </c>
      <c r="G387" s="11">
        <v>67.867418121625349</v>
      </c>
      <c r="H387" s="11">
        <v>6.6456469475426632</v>
      </c>
      <c r="I387" s="11">
        <v>30.717692034840184</v>
      </c>
      <c r="J387" s="11">
        <v>47.346109175377464</v>
      </c>
      <c r="K387" s="11">
        <v>101.97895273120949</v>
      </c>
      <c r="L387" s="11">
        <v>103.22277847309135</v>
      </c>
      <c r="M387" s="5"/>
    </row>
    <row r="388" spans="1:13" x14ac:dyDescent="0.25">
      <c r="A388" s="43">
        <v>7202</v>
      </c>
      <c r="B388" t="s">
        <v>71</v>
      </c>
      <c r="C388" t="s">
        <v>466</v>
      </c>
      <c r="D388" s="8">
        <v>2.2200000000000002</v>
      </c>
      <c r="E388" s="8">
        <v>18.14</v>
      </c>
      <c r="F388" s="11">
        <v>24.198682994214728</v>
      </c>
      <c r="G388" s="11">
        <v>68.589723615741747</v>
      </c>
      <c r="H388" s="11">
        <v>7.211593390043519</v>
      </c>
      <c r="I388" s="11">
        <v>31.098162631518818</v>
      </c>
      <c r="J388" s="11">
        <v>45.794434980124933</v>
      </c>
      <c r="K388" s="11">
        <v>103.41421674783177</v>
      </c>
      <c r="L388" s="11">
        <v>104.32312547982599</v>
      </c>
      <c r="M388" s="5"/>
    </row>
    <row r="389" spans="1:13" x14ac:dyDescent="0.25">
      <c r="A389" s="43">
        <v>7203</v>
      </c>
      <c r="B389" t="s">
        <v>71</v>
      </c>
      <c r="C389" t="s">
        <v>467</v>
      </c>
      <c r="D389" s="8">
        <v>2.23</v>
      </c>
      <c r="E389" s="8">
        <v>22.22</v>
      </c>
      <c r="F389" s="11">
        <v>26.718125538750883</v>
      </c>
      <c r="G389" s="11">
        <v>68.637142185453442</v>
      </c>
      <c r="H389" s="11">
        <v>4.6447322757956719</v>
      </c>
      <c r="I389" s="11">
        <v>38.742485474716496</v>
      </c>
      <c r="J389" s="11">
        <v>45.69371162016914</v>
      </c>
      <c r="K389" s="11">
        <v>121.6083456342955</v>
      </c>
      <c r="L389" s="11">
        <v>147.13464491020102</v>
      </c>
      <c r="M389" s="5"/>
    </row>
    <row r="390" spans="1:13" x14ac:dyDescent="0.25">
      <c r="A390" s="43">
        <v>7204</v>
      </c>
      <c r="B390" t="s">
        <v>71</v>
      </c>
      <c r="C390" t="s">
        <v>468</v>
      </c>
      <c r="D390" s="8">
        <v>2.15</v>
      </c>
      <c r="E390" s="8">
        <v>14.77</v>
      </c>
      <c r="F390" s="11">
        <v>23.445325542570952</v>
      </c>
      <c r="G390" s="11">
        <v>68.512335373771108</v>
      </c>
      <c r="H390" s="11">
        <v>8.0423390836579483</v>
      </c>
      <c r="I390" s="11">
        <v>30.775830087182342</v>
      </c>
      <c r="J390" s="11">
        <v>45.959117368349808</v>
      </c>
      <c r="K390" s="11">
        <v>105.67831367437128</v>
      </c>
      <c r="L390" s="11">
        <v>104.55140883055505</v>
      </c>
      <c r="M390" s="5"/>
    </row>
    <row r="391" spans="1:13" x14ac:dyDescent="0.25">
      <c r="A391" s="43">
        <v>7205</v>
      </c>
      <c r="B391" t="s">
        <v>71</v>
      </c>
      <c r="C391" t="s">
        <v>469</v>
      </c>
      <c r="D391" s="8">
        <v>2.2400000000000002</v>
      </c>
      <c r="E391" s="8">
        <v>25.08</v>
      </c>
      <c r="F391" s="11">
        <v>24.961575681675868</v>
      </c>
      <c r="G391" s="11">
        <v>68.617293789491669</v>
      </c>
      <c r="H391" s="11">
        <v>6.4211305288324692</v>
      </c>
      <c r="I391" s="11">
        <v>31.224897693275906</v>
      </c>
      <c r="J391" s="11">
        <v>45.735855317736849</v>
      </c>
      <c r="K391" s="11">
        <v>105.11812555949092</v>
      </c>
      <c r="L391" s="11">
        <v>107.92006233284899</v>
      </c>
      <c r="M391" s="5"/>
    </row>
    <row r="392" spans="1:13" x14ac:dyDescent="0.25">
      <c r="A392" s="43">
        <v>7206</v>
      </c>
      <c r="B392" t="s">
        <v>71</v>
      </c>
      <c r="C392" t="s">
        <v>470</v>
      </c>
      <c r="D392" s="8">
        <v>2.35</v>
      </c>
      <c r="E392" s="8">
        <v>24.73</v>
      </c>
      <c r="F392" s="11">
        <v>26.865897357266782</v>
      </c>
      <c r="G392" s="11">
        <v>66.734579855407915</v>
      </c>
      <c r="H392" s="11">
        <v>6.3995227873252984</v>
      </c>
      <c r="I392" s="11">
        <v>30.297123701422819</v>
      </c>
      <c r="J392" s="11">
        <v>49.847350828711896</v>
      </c>
      <c r="K392" s="11">
        <v>103.68700265251989</v>
      </c>
      <c r="L392" s="11">
        <v>103.63667165485502</v>
      </c>
      <c r="M392" s="5"/>
    </row>
    <row r="393" spans="1:13" x14ac:dyDescent="0.25">
      <c r="A393" s="43">
        <v>7207</v>
      </c>
      <c r="B393" t="s">
        <v>71</v>
      </c>
      <c r="C393" t="s">
        <v>471</v>
      </c>
      <c r="D393" s="8">
        <v>2.4900000000000002</v>
      </c>
      <c r="E393" s="8">
        <v>24.15</v>
      </c>
      <c r="F393" s="11">
        <v>28.533499220799207</v>
      </c>
      <c r="G393" s="11">
        <v>66.206414457862223</v>
      </c>
      <c r="H393" s="11">
        <v>5.2600863213385578</v>
      </c>
      <c r="I393" s="11">
        <v>31.418145437987803</v>
      </c>
      <c r="J393" s="11">
        <v>51.04276650360827</v>
      </c>
      <c r="K393" s="11">
        <v>105.09417582995739</v>
      </c>
      <c r="L393" s="11">
        <v>104.26969103114708</v>
      </c>
      <c r="M393" s="5"/>
    </row>
    <row r="394" spans="1:13" x14ac:dyDescent="0.25">
      <c r="A394" s="43">
        <v>7208</v>
      </c>
      <c r="B394" t="s">
        <v>71</v>
      </c>
      <c r="C394" t="s">
        <v>472</v>
      </c>
      <c r="D394" s="8">
        <v>2.34</v>
      </c>
      <c r="E394" s="8">
        <v>29.9</v>
      </c>
      <c r="F394" s="11">
        <v>23.713133532623043</v>
      </c>
      <c r="G394" s="11">
        <v>69.956011480450016</v>
      </c>
      <c r="H394" s="11">
        <v>6.3308549869269353</v>
      </c>
      <c r="I394" s="11">
        <v>32.54937530340581</v>
      </c>
      <c r="J394" s="11">
        <v>42.946971795191764</v>
      </c>
      <c r="K394" s="11">
        <v>104.70277502952854</v>
      </c>
      <c r="L394" s="11">
        <v>105.42886705994599</v>
      </c>
      <c r="M394" s="5"/>
    </row>
    <row r="395" spans="1:13" x14ac:dyDescent="0.25">
      <c r="A395" s="43">
        <v>7209</v>
      </c>
      <c r="B395" t="s">
        <v>71</v>
      </c>
      <c r="C395" t="s">
        <v>473</v>
      </c>
      <c r="D395" s="8">
        <v>2.3199999999999998</v>
      </c>
      <c r="E395" s="8">
        <v>24.95</v>
      </c>
      <c r="F395" s="11">
        <v>26.717329586189098</v>
      </c>
      <c r="G395" s="11">
        <v>67.095294083909266</v>
      </c>
      <c r="H395" s="11">
        <v>6.1873763299016371</v>
      </c>
      <c r="I395" s="11">
        <v>31.28043359811878</v>
      </c>
      <c r="J395" s="11">
        <v>49.041749299049442</v>
      </c>
      <c r="K395" s="11">
        <v>106.1591760963901</v>
      </c>
      <c r="L395" s="11">
        <v>109.47534183438317</v>
      </c>
      <c r="M395" s="5"/>
    </row>
    <row r="396" spans="1:13" x14ac:dyDescent="0.25">
      <c r="A396" s="43">
        <v>7210</v>
      </c>
      <c r="B396" t="s">
        <v>71</v>
      </c>
      <c r="C396" t="s">
        <v>474</v>
      </c>
      <c r="D396" s="8">
        <v>2.27</v>
      </c>
      <c r="E396" s="8">
        <v>22.52</v>
      </c>
      <c r="F396" s="11">
        <v>25.096906232372469</v>
      </c>
      <c r="G396" s="11">
        <v>68.246937329148523</v>
      </c>
      <c r="H396" s="11">
        <v>6.6561564384790062</v>
      </c>
      <c r="I396" s="11">
        <v>30.840408452537645</v>
      </c>
      <c r="J396" s="11">
        <v>46.526721803953563</v>
      </c>
      <c r="K396" s="11">
        <v>104.28882733148662</v>
      </c>
      <c r="L396" s="11">
        <v>104.06010000717755</v>
      </c>
      <c r="M396" s="5"/>
    </row>
    <row r="397" spans="1:13" x14ac:dyDescent="0.25">
      <c r="A397" s="43">
        <v>7211</v>
      </c>
      <c r="B397" t="s">
        <v>71</v>
      </c>
      <c r="C397" t="s">
        <v>475</v>
      </c>
      <c r="D397" s="8">
        <v>2.39</v>
      </c>
      <c r="E397" s="8">
        <v>25.69</v>
      </c>
      <c r="F397" s="11">
        <v>28.258518831100325</v>
      </c>
      <c r="G397" s="11">
        <v>66.353254562717595</v>
      </c>
      <c r="H397" s="11">
        <v>5.3882266061820863</v>
      </c>
      <c r="I397" s="11">
        <v>31.402310370292223</v>
      </c>
      <c r="J397" s="11">
        <v>50.708508058906531</v>
      </c>
      <c r="K397" s="11">
        <v>101.65403536763729</v>
      </c>
      <c r="L397" s="11">
        <v>101.959121363752</v>
      </c>
      <c r="M397" s="5"/>
    </row>
    <row r="398" spans="1:13" x14ac:dyDescent="0.25">
      <c r="A398" s="43">
        <v>7212</v>
      </c>
      <c r="B398" t="s">
        <v>71</v>
      </c>
      <c r="C398" t="s">
        <v>476</v>
      </c>
      <c r="D398" s="8">
        <v>2.25</v>
      </c>
      <c r="E398" s="8">
        <v>17.89</v>
      </c>
      <c r="F398" s="11">
        <v>25.77405921448311</v>
      </c>
      <c r="G398" s="11">
        <v>67.856843772125501</v>
      </c>
      <c r="H398" s="11">
        <v>6.3690970133913964</v>
      </c>
      <c r="I398" s="11">
        <v>31.541723447504054</v>
      </c>
      <c r="J398" s="11">
        <v>47.36907059193107</v>
      </c>
      <c r="K398" s="11">
        <v>108.62928843710293</v>
      </c>
      <c r="L398" s="11">
        <v>110.24561047396733</v>
      </c>
      <c r="M398" s="5"/>
    </row>
    <row r="399" spans="1:13" x14ac:dyDescent="0.25">
      <c r="A399" s="43">
        <v>7271</v>
      </c>
      <c r="B399" t="s">
        <v>71</v>
      </c>
      <c r="C399" t="s">
        <v>477</v>
      </c>
      <c r="D399" s="8">
        <v>2.0699999999999998</v>
      </c>
      <c r="E399" s="8">
        <v>14.01</v>
      </c>
      <c r="F399" s="11">
        <v>26.107246960242737</v>
      </c>
      <c r="G399" s="11">
        <v>68.061239957556467</v>
      </c>
      <c r="H399" s="11">
        <v>5.8315130822008019</v>
      </c>
      <c r="I399" s="11">
        <v>32.607220867905681</v>
      </c>
      <c r="J399" s="11">
        <v>46.926503340757236</v>
      </c>
      <c r="K399" s="11">
        <v>100.47376365620002</v>
      </c>
      <c r="L399" s="11">
        <v>100.00762125415359</v>
      </c>
      <c r="M399" s="5"/>
    </row>
    <row r="400" spans="1:13" x14ac:dyDescent="0.25">
      <c r="A400" s="45">
        <v>7301</v>
      </c>
      <c r="B400" t="s">
        <v>72</v>
      </c>
      <c r="C400" t="s">
        <v>478</v>
      </c>
      <c r="D400" s="8">
        <v>2.15</v>
      </c>
      <c r="E400" s="8">
        <v>16.2</v>
      </c>
      <c r="F400" s="11">
        <v>21.735402261003184</v>
      </c>
      <c r="G400" s="11">
        <v>69.208923279552195</v>
      </c>
      <c r="H400" s="11">
        <v>9.0556744594446279</v>
      </c>
      <c r="I400" s="11">
        <v>32.382559543409066</v>
      </c>
      <c r="J400" s="11">
        <v>44.490038655961939</v>
      </c>
      <c r="K400" s="11">
        <v>96.694237178362769</v>
      </c>
      <c r="L400" s="11">
        <v>101.53695086026555</v>
      </c>
      <c r="M400" s="5"/>
    </row>
    <row r="401" spans="1:13" x14ac:dyDescent="0.25">
      <c r="A401" s="45">
        <v>7302</v>
      </c>
      <c r="B401" t="s">
        <v>72</v>
      </c>
      <c r="C401" t="s">
        <v>479</v>
      </c>
      <c r="D401" s="8">
        <v>2.15</v>
      </c>
      <c r="E401" s="8">
        <v>14.99</v>
      </c>
      <c r="F401" s="11">
        <v>21.897643167430974</v>
      </c>
      <c r="G401" s="11">
        <v>69.712671969324035</v>
      </c>
      <c r="H401" s="11">
        <v>8.3896848632449839</v>
      </c>
      <c r="I401" s="11">
        <v>30.482075463550707</v>
      </c>
      <c r="J401" s="11">
        <v>43.445943434793918</v>
      </c>
      <c r="K401" s="11">
        <v>95.558220248097896</v>
      </c>
      <c r="L401" s="11">
        <v>97.151275642010305</v>
      </c>
      <c r="M401" s="5"/>
    </row>
    <row r="402" spans="1:13" x14ac:dyDescent="0.25">
      <c r="A402" s="45">
        <v>7303</v>
      </c>
      <c r="B402" t="s">
        <v>72</v>
      </c>
      <c r="C402" t="s">
        <v>480</v>
      </c>
      <c r="D402" s="8">
        <v>2.0099999999999998</v>
      </c>
      <c r="E402" s="8">
        <v>18.93</v>
      </c>
      <c r="F402" s="11">
        <v>22.457158651188504</v>
      </c>
      <c r="G402" s="11">
        <v>70.420407540839861</v>
      </c>
      <c r="H402" s="11">
        <v>7.1224338079716354</v>
      </c>
      <c r="I402" s="11">
        <v>32.32448866777225</v>
      </c>
      <c r="J402" s="11">
        <v>42.004290364274937</v>
      </c>
      <c r="K402" s="11">
        <v>97.526262283971533</v>
      </c>
      <c r="L402" s="11">
        <v>99.133957666676451</v>
      </c>
      <c r="M402" s="5"/>
    </row>
    <row r="403" spans="1:13" x14ac:dyDescent="0.25">
      <c r="A403" s="45">
        <v>7304</v>
      </c>
      <c r="B403" t="s">
        <v>72</v>
      </c>
      <c r="C403" t="s">
        <v>481</v>
      </c>
      <c r="D403" s="8">
        <v>2.17</v>
      </c>
      <c r="E403" s="8">
        <v>14.74</v>
      </c>
      <c r="F403" s="11">
        <v>23.224377845379699</v>
      </c>
      <c r="G403" s="11">
        <v>69.577264553963715</v>
      </c>
      <c r="H403" s="11">
        <v>7.1983576006565855</v>
      </c>
      <c r="I403" s="11">
        <v>32.417511755641655</v>
      </c>
      <c r="J403" s="11">
        <v>43.725109978189195</v>
      </c>
      <c r="K403" s="11">
        <v>98.108627678054432</v>
      </c>
      <c r="L403" s="11">
        <v>101.90929744844459</v>
      </c>
      <c r="M403" s="5"/>
    </row>
    <row r="404" spans="1:13" x14ac:dyDescent="0.25">
      <c r="A404" s="45">
        <v>7305</v>
      </c>
      <c r="B404" t="s">
        <v>72</v>
      </c>
      <c r="C404" t="s">
        <v>482</v>
      </c>
      <c r="D404" s="8">
        <v>2.25</v>
      </c>
      <c r="E404" s="8">
        <v>17.399999999999999</v>
      </c>
      <c r="F404" s="11">
        <v>24.67742133877832</v>
      </c>
      <c r="G404" s="11">
        <v>67.791950601490811</v>
      </c>
      <c r="H404" s="11">
        <v>7.5306280597308666</v>
      </c>
      <c r="I404" s="11">
        <v>30.877758370439619</v>
      </c>
      <c r="J404" s="11">
        <v>47.510138169414027</v>
      </c>
      <c r="K404" s="11">
        <v>96.080701373563429</v>
      </c>
      <c r="L404" s="11">
        <v>100.35117123588331</v>
      </c>
      <c r="M404" s="5"/>
    </row>
    <row r="405" spans="1:13" x14ac:dyDescent="0.25">
      <c r="A405" s="45">
        <v>7306</v>
      </c>
      <c r="B405" t="s">
        <v>72</v>
      </c>
      <c r="C405" t="s">
        <v>483</v>
      </c>
      <c r="D405" s="8">
        <v>2.17</v>
      </c>
      <c r="E405" s="8">
        <v>13.94</v>
      </c>
      <c r="F405" s="11">
        <v>23.535281488634833</v>
      </c>
      <c r="G405" s="11">
        <v>69.328759244727635</v>
      </c>
      <c r="H405" s="11">
        <v>7.1359592666375331</v>
      </c>
      <c r="I405" s="11">
        <v>32.596692319508264</v>
      </c>
      <c r="J405" s="11">
        <v>44.240285113143543</v>
      </c>
      <c r="K405" s="11">
        <v>98.40037610415628</v>
      </c>
      <c r="L405" s="11">
        <v>101.18765893022503</v>
      </c>
      <c r="M405" s="5"/>
    </row>
    <row r="406" spans="1:13" x14ac:dyDescent="0.25">
      <c r="A406" s="45">
        <v>7307</v>
      </c>
      <c r="B406" t="s">
        <v>72</v>
      </c>
      <c r="C406" t="s">
        <v>484</v>
      </c>
      <c r="D406" s="8">
        <v>2.2000000000000002</v>
      </c>
      <c r="E406" s="8">
        <v>17.93</v>
      </c>
      <c r="F406" s="11">
        <v>23.123187277539802</v>
      </c>
      <c r="G406" s="11">
        <v>68.978864697128245</v>
      </c>
      <c r="H406" s="11">
        <v>7.8979480253319485</v>
      </c>
      <c r="I406" s="11">
        <v>31.928899638994395</v>
      </c>
      <c r="J406" s="11">
        <v>44.97194240450181</v>
      </c>
      <c r="K406" s="11">
        <v>98.411546640611519</v>
      </c>
      <c r="L406" s="11">
        <v>102.15731676562964</v>
      </c>
      <c r="M406" s="5"/>
    </row>
    <row r="407" spans="1:13" x14ac:dyDescent="0.25">
      <c r="A407" s="45">
        <v>7308</v>
      </c>
      <c r="B407" t="s">
        <v>72</v>
      </c>
      <c r="C407" t="s">
        <v>485</v>
      </c>
      <c r="D407" s="8">
        <v>2.2400000000000002</v>
      </c>
      <c r="E407" s="8">
        <v>14.29</v>
      </c>
      <c r="F407" s="11">
        <v>24.788267324867167</v>
      </c>
      <c r="G407" s="11">
        <v>68.453951087161329</v>
      </c>
      <c r="H407" s="11">
        <v>6.757781587971512</v>
      </c>
      <c r="I407" s="11">
        <v>32.466697441308362</v>
      </c>
      <c r="J407" s="11">
        <v>46.083605711336659</v>
      </c>
      <c r="K407" s="11">
        <v>100.91040722269015</v>
      </c>
      <c r="L407" s="11">
        <v>104.26304325277459</v>
      </c>
      <c r="M407" s="5"/>
    </row>
    <row r="408" spans="1:13" x14ac:dyDescent="0.25">
      <c r="A408" s="45">
        <v>7309</v>
      </c>
      <c r="B408" t="s">
        <v>72</v>
      </c>
      <c r="C408" t="s">
        <v>486</v>
      </c>
      <c r="D408" s="8">
        <v>2.13</v>
      </c>
      <c r="E408" s="8">
        <v>18.239999999999998</v>
      </c>
      <c r="F408" s="11">
        <v>23.787248219513259</v>
      </c>
      <c r="G408" s="11">
        <v>68.653602481758199</v>
      </c>
      <c r="H408" s="11">
        <v>7.5591492987285358</v>
      </c>
      <c r="I408" s="11">
        <v>32.534845108576924</v>
      </c>
      <c r="J408" s="11">
        <v>45.658780289891965</v>
      </c>
      <c r="K408" s="11">
        <v>96.684964174839678</v>
      </c>
      <c r="L408" s="11">
        <v>102.04178537511869</v>
      </c>
      <c r="M408" s="5"/>
    </row>
    <row r="409" spans="1:13" x14ac:dyDescent="0.25">
      <c r="A409" s="45">
        <v>7310</v>
      </c>
      <c r="B409" t="s">
        <v>72</v>
      </c>
      <c r="C409" t="s">
        <v>487</v>
      </c>
      <c r="D409" s="8">
        <v>2.17</v>
      </c>
      <c r="E409" s="8">
        <v>18.7</v>
      </c>
      <c r="F409" s="11">
        <v>22.597422922426837</v>
      </c>
      <c r="G409" s="11">
        <v>67.599248787104187</v>
      </c>
      <c r="H409" s="11">
        <v>9.8033282904689862</v>
      </c>
      <c r="I409" s="11">
        <v>29.900359956179244</v>
      </c>
      <c r="J409" s="11">
        <v>47.93063797933339</v>
      </c>
      <c r="K409" s="11">
        <v>96.20868603948945</v>
      </c>
      <c r="L409" s="11">
        <v>100.5177721802407</v>
      </c>
      <c r="M409" s="5"/>
    </row>
    <row r="410" spans="1:13" x14ac:dyDescent="0.25">
      <c r="A410" s="45">
        <v>7311</v>
      </c>
      <c r="B410" t="s">
        <v>72</v>
      </c>
      <c r="C410" t="s">
        <v>488</v>
      </c>
      <c r="D410" s="8">
        <v>2.12</v>
      </c>
      <c r="E410" s="8">
        <v>17.48</v>
      </c>
      <c r="F410" s="11">
        <v>21.790808522536761</v>
      </c>
      <c r="G410" s="11">
        <v>68.551137945619828</v>
      </c>
      <c r="H410" s="11">
        <v>9.658053531843402</v>
      </c>
      <c r="I410" s="11">
        <v>31.740205516213461</v>
      </c>
      <c r="J410" s="11">
        <v>45.876498912866886</v>
      </c>
      <c r="K410" s="11">
        <v>96.211400900597226</v>
      </c>
      <c r="L410" s="11">
        <v>103.05768210414614</v>
      </c>
      <c r="M410" s="5"/>
    </row>
    <row r="411" spans="1:13" x14ac:dyDescent="0.25">
      <c r="A411" s="45">
        <v>7312</v>
      </c>
      <c r="B411" t="s">
        <v>72</v>
      </c>
      <c r="C411" t="s">
        <v>489</v>
      </c>
      <c r="D411" s="8">
        <v>2.0699999999999998</v>
      </c>
      <c r="E411" s="8">
        <v>17.41</v>
      </c>
      <c r="F411" s="11">
        <v>19.95899942019382</v>
      </c>
      <c r="G411" s="11">
        <v>67.618239045804685</v>
      </c>
      <c r="H411" s="11">
        <v>12.42276153400149</v>
      </c>
      <c r="I411" s="11">
        <v>29.31665700323035</v>
      </c>
      <c r="J411" s="11">
        <v>47.889092367903672</v>
      </c>
      <c r="K411" s="11">
        <v>94.105919804495315</v>
      </c>
      <c r="L411" s="11">
        <v>103.133608815427</v>
      </c>
      <c r="M411" s="5"/>
    </row>
    <row r="412" spans="1:13" x14ac:dyDescent="0.25">
      <c r="A412" s="45">
        <v>7313</v>
      </c>
      <c r="B412" t="s">
        <v>72</v>
      </c>
      <c r="C412" t="s">
        <v>490</v>
      </c>
      <c r="D412" s="8">
        <v>2.04</v>
      </c>
      <c r="E412" s="8">
        <v>17.43</v>
      </c>
      <c r="F412" s="11">
        <v>21.225050603560156</v>
      </c>
      <c r="G412" s="11">
        <v>68.829730766202672</v>
      </c>
      <c r="H412" s="11">
        <v>9.9452186302371839</v>
      </c>
      <c r="I412" s="11">
        <v>29.062824605647791</v>
      </c>
      <c r="J412" s="11">
        <v>45.286054277438517</v>
      </c>
      <c r="K412" s="11">
        <v>94.900136121767105</v>
      </c>
      <c r="L412" s="11">
        <v>100.53624001121548</v>
      </c>
      <c r="M412" s="5"/>
    </row>
    <row r="413" spans="1:13" x14ac:dyDescent="0.25">
      <c r="A413" s="45">
        <v>7314</v>
      </c>
      <c r="B413" t="s">
        <v>72</v>
      </c>
      <c r="C413" t="s">
        <v>491</v>
      </c>
      <c r="D413" s="8">
        <v>2.09</v>
      </c>
      <c r="E413" s="8">
        <v>13.14</v>
      </c>
      <c r="F413" s="11">
        <v>22.813722137132149</v>
      </c>
      <c r="G413" s="11">
        <v>68.308227631637635</v>
      </c>
      <c r="H413" s="11">
        <v>8.8780502312302048</v>
      </c>
      <c r="I413" s="11">
        <v>30.746033398266142</v>
      </c>
      <c r="J413" s="11">
        <v>46.39524910420014</v>
      </c>
      <c r="K413" s="11">
        <v>98.154848899156093</v>
      </c>
      <c r="L413" s="11">
        <v>103.79270239902225</v>
      </c>
      <c r="M413" s="5"/>
    </row>
    <row r="414" spans="1:13" x14ac:dyDescent="0.25">
      <c r="A414" s="45">
        <v>7315</v>
      </c>
      <c r="B414" t="s">
        <v>72</v>
      </c>
      <c r="C414" t="s">
        <v>492</v>
      </c>
      <c r="D414" s="8">
        <v>2.2400000000000002</v>
      </c>
      <c r="E414" s="8">
        <v>13.06</v>
      </c>
      <c r="F414" s="11">
        <v>23.720538952710623</v>
      </c>
      <c r="G414" s="11">
        <v>68.329173045009256</v>
      </c>
      <c r="H414" s="11">
        <v>7.9502880022801135</v>
      </c>
      <c r="I414" s="11">
        <v>30.947028726675953</v>
      </c>
      <c r="J414" s="11">
        <v>46.350373557321959</v>
      </c>
      <c r="K414" s="11">
        <v>97.931812598382209</v>
      </c>
      <c r="L414" s="11">
        <v>100.77542499254399</v>
      </c>
      <c r="M414" s="5"/>
    </row>
    <row r="415" spans="1:13" x14ac:dyDescent="0.25">
      <c r="A415" s="45">
        <v>7316</v>
      </c>
      <c r="B415" t="s">
        <v>72</v>
      </c>
      <c r="C415" t="s">
        <v>493</v>
      </c>
      <c r="D415" s="8">
        <v>2.5</v>
      </c>
      <c r="E415" s="8">
        <v>14.51</v>
      </c>
      <c r="F415" s="11">
        <v>24.106647747659586</v>
      </c>
      <c r="G415" s="11">
        <v>68.679665329288582</v>
      </c>
      <c r="H415" s="11">
        <v>7.2136869230518315</v>
      </c>
      <c r="I415" s="11">
        <v>34.468066020810909</v>
      </c>
      <c r="J415" s="11">
        <v>45.603505084866512</v>
      </c>
      <c r="K415" s="11">
        <v>102.8518494011778</v>
      </c>
      <c r="L415" s="11">
        <v>105.19199961163164</v>
      </c>
      <c r="M415" s="5"/>
    </row>
    <row r="416" spans="1:13" x14ac:dyDescent="0.25">
      <c r="A416" s="45">
        <v>7317</v>
      </c>
      <c r="B416" t="s">
        <v>72</v>
      </c>
      <c r="C416" t="s">
        <v>494</v>
      </c>
      <c r="D416" s="8">
        <v>2.35</v>
      </c>
      <c r="E416" s="8">
        <v>17.670000000000002</v>
      </c>
      <c r="F416" s="11">
        <v>24.310893289295443</v>
      </c>
      <c r="G416" s="11">
        <v>68.844715707016121</v>
      </c>
      <c r="H416" s="11">
        <v>6.8443910036884272</v>
      </c>
      <c r="I416" s="11">
        <v>33.160073667067472</v>
      </c>
      <c r="J416" s="11">
        <v>45.254430892811079</v>
      </c>
      <c r="K416" s="11">
        <v>102.19528833676132</v>
      </c>
      <c r="L416" s="11">
        <v>105.58473829894312</v>
      </c>
      <c r="M416" s="5"/>
    </row>
    <row r="417" spans="1:13" x14ac:dyDescent="0.25">
      <c r="A417" s="45">
        <v>7318</v>
      </c>
      <c r="B417" t="s">
        <v>72</v>
      </c>
      <c r="C417" t="s">
        <v>495</v>
      </c>
      <c r="D417" s="8">
        <v>2.54</v>
      </c>
      <c r="E417" s="8">
        <v>12.02</v>
      </c>
      <c r="F417" s="11">
        <v>22.652645133598025</v>
      </c>
      <c r="G417" s="11">
        <v>69.044425367528703</v>
      </c>
      <c r="H417" s="11">
        <v>8.3029294988732705</v>
      </c>
      <c r="I417" s="11">
        <v>34.301561326322563</v>
      </c>
      <c r="J417" s="11">
        <v>44.834285270233515</v>
      </c>
      <c r="K417" s="11">
        <v>106.67410544116322</v>
      </c>
      <c r="L417" s="11">
        <v>109.86869101354124</v>
      </c>
      <c r="M417" s="5"/>
    </row>
    <row r="418" spans="1:13" x14ac:dyDescent="0.25">
      <c r="A418" s="45">
        <v>7322</v>
      </c>
      <c r="B418" t="s">
        <v>72</v>
      </c>
      <c r="C418" t="s">
        <v>496</v>
      </c>
      <c r="D418" s="8">
        <v>2.21</v>
      </c>
      <c r="E418" s="8">
        <v>15.63</v>
      </c>
      <c r="F418" s="11">
        <v>23.777007479996872</v>
      </c>
      <c r="G418" s="11">
        <v>69.502868345684163</v>
      </c>
      <c r="H418" s="11">
        <v>6.7201241743189675</v>
      </c>
      <c r="I418" s="11">
        <v>33.399069271779013</v>
      </c>
      <c r="J418" s="11">
        <v>43.878954034865501</v>
      </c>
      <c r="K418" s="11">
        <v>101.33691710297701</v>
      </c>
      <c r="L418" s="11">
        <v>102.50021947151259</v>
      </c>
      <c r="M418" s="5"/>
    </row>
    <row r="419" spans="1:13" x14ac:dyDescent="0.25">
      <c r="A419" s="45">
        <v>7325</v>
      </c>
      <c r="B419" t="s">
        <v>72</v>
      </c>
      <c r="C419" t="s">
        <v>497</v>
      </c>
      <c r="D419" s="8">
        <v>2.2599999999999998</v>
      </c>
      <c r="E419" s="8">
        <v>13.54</v>
      </c>
      <c r="F419" s="11">
        <v>25.624491855672993</v>
      </c>
      <c r="G419" s="11">
        <v>68.428856679158059</v>
      </c>
      <c r="H419" s="11">
        <v>5.9466514651689453</v>
      </c>
      <c r="I419" s="11">
        <v>32.082324832331842</v>
      </c>
      <c r="J419" s="11">
        <v>46.137177870542764</v>
      </c>
      <c r="K419" s="11">
        <v>104.54362993405333</v>
      </c>
      <c r="L419" s="11">
        <v>102.9899284545795</v>
      </c>
      <c r="M419" s="5"/>
    </row>
    <row r="420" spans="1:13" x14ac:dyDescent="0.25">
      <c r="A420" s="45">
        <v>7326</v>
      </c>
      <c r="B420" t="s">
        <v>72</v>
      </c>
      <c r="C420" t="s">
        <v>498</v>
      </c>
      <c r="D420" s="8">
        <v>3.02</v>
      </c>
      <c r="E420" s="8">
        <v>11.03</v>
      </c>
      <c r="F420" s="11">
        <v>26.49092329803117</v>
      </c>
      <c r="G420" s="11">
        <v>65.669694559560185</v>
      </c>
      <c r="H420" s="11">
        <v>7.8393821424086392</v>
      </c>
      <c r="I420" s="11">
        <v>32.481127994753514</v>
      </c>
      <c r="J420" s="11">
        <v>52.277242449031625</v>
      </c>
      <c r="K420" s="11">
        <v>103.82091335044473</v>
      </c>
      <c r="L420" s="11">
        <v>107.44330080648754</v>
      </c>
      <c r="M420" s="5"/>
    </row>
    <row r="421" spans="1:13" x14ac:dyDescent="0.25">
      <c r="A421" s="45">
        <v>7371</v>
      </c>
      <c r="B421" t="s">
        <v>72</v>
      </c>
      <c r="C421" t="s">
        <v>499</v>
      </c>
      <c r="D421" s="8">
        <v>2</v>
      </c>
      <c r="E421" s="8">
        <v>10.039999999999999</v>
      </c>
      <c r="F421" s="11">
        <v>22.879805335076036</v>
      </c>
      <c r="G421" s="11">
        <v>70.066153971699947</v>
      </c>
      <c r="H421" s="11">
        <v>7.0540406932240227</v>
      </c>
      <c r="I421" s="11">
        <v>33.390389363568985</v>
      </c>
      <c r="J421" s="11">
        <v>42.722262221486403</v>
      </c>
      <c r="K421" s="11">
        <v>99.036331859440565</v>
      </c>
      <c r="L421" s="11">
        <v>104.15192524967631</v>
      </c>
      <c r="M421" s="5"/>
    </row>
    <row r="422" spans="1:13" x14ac:dyDescent="0.25">
      <c r="A422" s="45">
        <v>7372</v>
      </c>
      <c r="B422" t="s">
        <v>72</v>
      </c>
      <c r="C422" t="s">
        <v>500</v>
      </c>
      <c r="D422" s="8">
        <v>2.25</v>
      </c>
      <c r="E422" s="8">
        <v>12.09</v>
      </c>
      <c r="F422" s="11">
        <v>25.647441888510357</v>
      </c>
      <c r="G422" s="11">
        <v>67.873616931472156</v>
      </c>
      <c r="H422" s="11">
        <v>6.4789411800174861</v>
      </c>
      <c r="I422" s="11">
        <v>32.476107208538089</v>
      </c>
      <c r="J422" s="11">
        <v>47.332652245369346</v>
      </c>
      <c r="K422" s="11">
        <v>98.912156975628477</v>
      </c>
      <c r="L422" s="11">
        <v>101.26303202421434</v>
      </c>
      <c r="M422" s="5"/>
    </row>
    <row r="423" spans="1:13" x14ac:dyDescent="0.25">
      <c r="A423" s="45">
        <v>7373</v>
      </c>
      <c r="B423" t="s">
        <v>72</v>
      </c>
      <c r="C423" t="s">
        <v>501</v>
      </c>
      <c r="D423" s="8">
        <v>2.1800000000000002</v>
      </c>
      <c r="E423" s="8">
        <v>13.89</v>
      </c>
      <c r="F423" s="11">
        <v>25.017627839075207</v>
      </c>
      <c r="G423" s="11">
        <v>69.156743765703681</v>
      </c>
      <c r="H423" s="11">
        <v>5.8256283952211181</v>
      </c>
      <c r="I423" s="11">
        <v>34.429900787542337</v>
      </c>
      <c r="J423" s="11">
        <v>44.599057958527197</v>
      </c>
      <c r="K423" s="11">
        <v>101.00208601570999</v>
      </c>
      <c r="L423" s="11">
        <v>100.20500678543584</v>
      </c>
      <c r="M423" s="5"/>
    </row>
    <row r="424" spans="1:13" x14ac:dyDescent="0.25">
      <c r="A424" s="44">
        <v>7401</v>
      </c>
      <c r="B424" t="s">
        <v>73</v>
      </c>
      <c r="C424" t="s">
        <v>502</v>
      </c>
      <c r="D424" s="8">
        <v>2.73</v>
      </c>
      <c r="E424" s="8">
        <v>24.22</v>
      </c>
      <c r="F424" s="11">
        <v>28.747194677447595</v>
      </c>
      <c r="G424" s="11">
        <v>65.356455027297173</v>
      </c>
      <c r="H424" s="11">
        <v>5.8963502952552247</v>
      </c>
      <c r="I424" s="11">
        <v>33.455361548378882</v>
      </c>
      <c r="J424" s="11">
        <v>53.007074753723074</v>
      </c>
      <c r="K424" s="11">
        <v>101.77926228060315</v>
      </c>
      <c r="L424" s="11">
        <v>105.17350773585828</v>
      </c>
      <c r="M424" s="5"/>
    </row>
    <row r="425" spans="1:13" x14ac:dyDescent="0.25">
      <c r="A425" s="44">
        <v>7402</v>
      </c>
      <c r="B425" t="s">
        <v>73</v>
      </c>
      <c r="C425" t="s">
        <v>503</v>
      </c>
      <c r="D425" s="8">
        <v>2.69</v>
      </c>
      <c r="E425" s="8">
        <v>19.75</v>
      </c>
      <c r="F425" s="11">
        <v>27.215942764316381</v>
      </c>
      <c r="G425" s="11">
        <v>66.392369712499843</v>
      </c>
      <c r="H425" s="11">
        <v>6.3916875231837773</v>
      </c>
      <c r="I425" s="11">
        <v>32.167784462285596</v>
      </c>
      <c r="J425" s="11">
        <v>50.619717948059282</v>
      </c>
      <c r="K425" s="11">
        <v>97.376880869828668</v>
      </c>
      <c r="L425" s="11">
        <v>103.78143316316883</v>
      </c>
      <c r="M425" s="5"/>
    </row>
    <row r="426" spans="1:13" x14ac:dyDescent="0.25">
      <c r="A426" s="44">
        <v>7403</v>
      </c>
      <c r="B426" t="s">
        <v>73</v>
      </c>
      <c r="C426" t="s">
        <v>504</v>
      </c>
      <c r="D426" s="8">
        <v>2.52</v>
      </c>
      <c r="E426" s="8">
        <v>15.47</v>
      </c>
      <c r="F426" s="11">
        <v>26.077477305573517</v>
      </c>
      <c r="G426" s="11">
        <v>67.923561567355364</v>
      </c>
      <c r="H426" s="11">
        <v>5.9989611270711203</v>
      </c>
      <c r="I426" s="11">
        <v>32.654178990031767</v>
      </c>
      <c r="J426" s="11">
        <v>47.224317589466402</v>
      </c>
      <c r="K426" s="11">
        <v>106.60631502098923</v>
      </c>
      <c r="L426" s="11">
        <v>110.02022681302697</v>
      </c>
      <c r="M426" s="5"/>
    </row>
    <row r="427" spans="1:13" x14ac:dyDescent="0.25">
      <c r="A427" s="44">
        <v>7404</v>
      </c>
      <c r="B427" t="s">
        <v>73</v>
      </c>
      <c r="C427" t="s">
        <v>505</v>
      </c>
      <c r="D427" s="8">
        <v>2.29</v>
      </c>
      <c r="E427" s="8">
        <v>14.2</v>
      </c>
      <c r="F427" s="11">
        <v>26.357808628623118</v>
      </c>
      <c r="G427" s="11">
        <v>67.861721791796128</v>
      </c>
      <c r="H427" s="11">
        <v>5.7804695795807604</v>
      </c>
      <c r="I427" s="11">
        <v>31.188107130215915</v>
      </c>
      <c r="J427" s="11">
        <v>47.358477444480506</v>
      </c>
      <c r="K427" s="11">
        <v>104.14438717343482</v>
      </c>
      <c r="L427" s="11">
        <v>104.96769191005428</v>
      </c>
      <c r="M427" s="5"/>
    </row>
    <row r="428" spans="1:13" x14ac:dyDescent="0.25">
      <c r="A428" s="44">
        <v>7405</v>
      </c>
      <c r="B428" t="s">
        <v>73</v>
      </c>
      <c r="C428" t="s">
        <v>506</v>
      </c>
      <c r="D428" s="8">
        <v>2.4900000000000002</v>
      </c>
      <c r="E428" s="8">
        <v>19.37</v>
      </c>
      <c r="F428" s="11">
        <v>26.48740375622754</v>
      </c>
      <c r="G428" s="11">
        <v>67.591214686108543</v>
      </c>
      <c r="H428" s="11">
        <v>5.9213815576639153</v>
      </c>
      <c r="I428" s="11">
        <v>31.841469081412377</v>
      </c>
      <c r="J428" s="11">
        <v>47.948221472859785</v>
      </c>
      <c r="K428" s="11">
        <v>104.35733775678241</v>
      </c>
      <c r="L428" s="11">
        <v>105.76619723663454</v>
      </c>
      <c r="M428" s="5"/>
    </row>
    <row r="429" spans="1:13" x14ac:dyDescent="0.25">
      <c r="A429" s="44">
        <v>7406</v>
      </c>
      <c r="B429" t="s">
        <v>73</v>
      </c>
      <c r="C429" t="s">
        <v>507</v>
      </c>
      <c r="D429" s="8">
        <v>2.59</v>
      </c>
      <c r="E429" s="8">
        <v>22.89</v>
      </c>
      <c r="F429" s="11">
        <v>27.748656319826075</v>
      </c>
      <c r="G429" s="11">
        <v>67.068059665438739</v>
      </c>
      <c r="H429" s="11">
        <v>5.1832840147351895</v>
      </c>
      <c r="I429" s="11">
        <v>31.015761821366024</v>
      </c>
      <c r="J429" s="11">
        <v>49.102270885483264</v>
      </c>
      <c r="K429" s="11">
        <v>102.14610088383222</v>
      </c>
      <c r="L429" s="11">
        <v>102.87170169063043</v>
      </c>
      <c r="M429" s="5"/>
    </row>
    <row r="430" spans="1:13" x14ac:dyDescent="0.25">
      <c r="A430" s="44">
        <v>7407</v>
      </c>
      <c r="B430" t="s">
        <v>73</v>
      </c>
      <c r="C430" t="s">
        <v>508</v>
      </c>
      <c r="D430" s="8">
        <v>2.64</v>
      </c>
      <c r="E430" s="8">
        <v>22.66</v>
      </c>
      <c r="F430" s="11">
        <v>26.909876178277003</v>
      </c>
      <c r="G430" s="11">
        <v>66.268433671626099</v>
      </c>
      <c r="H430" s="11">
        <v>6.8216901500968898</v>
      </c>
      <c r="I430" s="11">
        <v>32.742963181922683</v>
      </c>
      <c r="J430" s="11">
        <v>50.901408799732359</v>
      </c>
      <c r="K430" s="11">
        <v>101.02337250759277</v>
      </c>
      <c r="L430" s="11">
        <v>103.7972095875709</v>
      </c>
      <c r="M430" s="5"/>
    </row>
    <row r="431" spans="1:13" x14ac:dyDescent="0.25">
      <c r="A431" s="44">
        <v>7408</v>
      </c>
      <c r="B431" t="s">
        <v>73</v>
      </c>
      <c r="C431" t="s">
        <v>509</v>
      </c>
      <c r="D431" s="8">
        <v>2.4700000000000002</v>
      </c>
      <c r="E431" s="8">
        <v>22.35</v>
      </c>
      <c r="F431" s="11">
        <v>26.170091324200911</v>
      </c>
      <c r="G431" s="11">
        <v>69.024361768368607</v>
      </c>
      <c r="H431" s="11">
        <v>4.8055469074304691</v>
      </c>
      <c r="I431" s="11">
        <v>33.321658364466586</v>
      </c>
      <c r="J431" s="11">
        <v>44.876384856087732</v>
      </c>
      <c r="K431" s="11">
        <v>103.90953577569104</v>
      </c>
      <c r="L431" s="11">
        <v>102.79477361544231</v>
      </c>
      <c r="M431" s="5"/>
    </row>
    <row r="432" spans="1:13" x14ac:dyDescent="0.25">
      <c r="A432" s="44">
        <v>7409</v>
      </c>
      <c r="B432" t="s">
        <v>73</v>
      </c>
      <c r="C432" t="s">
        <v>510</v>
      </c>
      <c r="D432" s="8">
        <v>2.68</v>
      </c>
      <c r="E432" s="8">
        <v>20.73</v>
      </c>
      <c r="F432" s="11">
        <v>28.592835335966164</v>
      </c>
      <c r="G432" s="11">
        <v>65.927233005629787</v>
      </c>
      <c r="H432" s="11">
        <v>5.4799316584040563</v>
      </c>
      <c r="I432" s="11">
        <v>31.956698316668071</v>
      </c>
      <c r="J432" s="11">
        <v>51.682385929135869</v>
      </c>
      <c r="K432" s="11">
        <v>103.60992301112061</v>
      </c>
      <c r="L432" s="11">
        <v>107.20058113139017</v>
      </c>
      <c r="M432" s="5"/>
    </row>
    <row r="433" spans="1:13" x14ac:dyDescent="0.25">
      <c r="A433" s="44">
        <v>7410</v>
      </c>
      <c r="B433" t="s">
        <v>73</v>
      </c>
      <c r="C433" t="s">
        <v>511</v>
      </c>
      <c r="D433" s="8">
        <v>2.69</v>
      </c>
      <c r="E433" s="8">
        <v>23.26</v>
      </c>
      <c r="F433" s="11">
        <v>29.367512927786294</v>
      </c>
      <c r="G433" s="11">
        <v>66.326689707143416</v>
      </c>
      <c r="H433" s="11">
        <v>4.3057973650702905</v>
      </c>
      <c r="I433" s="11">
        <v>32.757321414650626</v>
      </c>
      <c r="J433" s="11">
        <v>50.768869125741936</v>
      </c>
      <c r="K433" s="11">
        <v>105.47279619840889</v>
      </c>
      <c r="L433" s="11">
        <v>105.24259198957995</v>
      </c>
      <c r="M433" s="5"/>
    </row>
    <row r="434" spans="1:13" x14ac:dyDescent="0.25">
      <c r="A434" s="44">
        <v>7411</v>
      </c>
      <c r="B434" t="s">
        <v>73</v>
      </c>
      <c r="C434" t="s">
        <v>512</v>
      </c>
      <c r="D434" s="8">
        <v>2.35</v>
      </c>
      <c r="E434" s="8">
        <v>15.26</v>
      </c>
      <c r="F434" s="11">
        <v>24.711349882861089</v>
      </c>
      <c r="G434" s="11">
        <v>69.227951557146241</v>
      </c>
      <c r="H434" s="11">
        <v>6.0606985599926739</v>
      </c>
      <c r="I434" s="11">
        <v>31.8037866011401</v>
      </c>
      <c r="J434" s="11">
        <v>44.450323533626552</v>
      </c>
      <c r="K434" s="11">
        <v>104.25051046651184</v>
      </c>
      <c r="L434" s="11">
        <v>100.67411402157165</v>
      </c>
      <c r="M434" s="5"/>
    </row>
    <row r="435" spans="1:13" x14ac:dyDescent="0.25">
      <c r="A435" s="44">
        <v>7412</v>
      </c>
      <c r="B435" t="s">
        <v>73</v>
      </c>
      <c r="C435" t="s">
        <v>513</v>
      </c>
      <c r="D435" s="8">
        <v>2.66</v>
      </c>
      <c r="E435" s="8">
        <v>23.33</v>
      </c>
      <c r="F435" s="11">
        <v>27.793081592355133</v>
      </c>
      <c r="G435" s="11">
        <v>67.019331561882936</v>
      </c>
      <c r="H435" s="11">
        <v>5.1875868457619267</v>
      </c>
      <c r="I435" s="11">
        <v>34.102045293873864</v>
      </c>
      <c r="J435" s="11">
        <v>49.210679470391391</v>
      </c>
      <c r="K435" s="11">
        <v>103.09436577878999</v>
      </c>
      <c r="L435" s="11">
        <v>108.13866984079749</v>
      </c>
      <c r="M435" s="5"/>
    </row>
    <row r="436" spans="1:13" x14ac:dyDescent="0.25">
      <c r="A436" s="44">
        <v>7413</v>
      </c>
      <c r="B436" t="s">
        <v>73</v>
      </c>
      <c r="C436" t="s">
        <v>514</v>
      </c>
      <c r="D436" s="8">
        <v>2.67</v>
      </c>
      <c r="E436" s="8">
        <v>21.31</v>
      </c>
      <c r="F436" s="11">
        <v>28.027145962568262</v>
      </c>
      <c r="G436" s="11">
        <v>65.565982715656645</v>
      </c>
      <c r="H436" s="11">
        <v>6.4068713217750917</v>
      </c>
      <c r="I436" s="11">
        <v>32.588940141031756</v>
      </c>
      <c r="J436" s="11">
        <v>52.518113598136885</v>
      </c>
      <c r="K436" s="11">
        <v>98.930515124667764</v>
      </c>
      <c r="L436" s="11">
        <v>103.89438068068732</v>
      </c>
      <c r="M436" s="5"/>
    </row>
    <row r="437" spans="1:13" x14ac:dyDescent="0.25">
      <c r="A437" s="44">
        <v>7414</v>
      </c>
      <c r="B437" t="s">
        <v>73</v>
      </c>
      <c r="C437" t="s">
        <v>515</v>
      </c>
      <c r="D437" s="8">
        <v>2.82</v>
      </c>
      <c r="E437" s="8">
        <v>25.1</v>
      </c>
      <c r="F437" s="11">
        <v>29.14765541200391</v>
      </c>
      <c r="G437" s="11">
        <v>64.806365368298032</v>
      </c>
      <c r="H437" s="11">
        <v>6.0459792196980615</v>
      </c>
      <c r="I437" s="11">
        <v>33.251684997518531</v>
      </c>
      <c r="J437" s="11">
        <v>54.305830039525695</v>
      </c>
      <c r="K437" s="11">
        <v>100.89410629573048</v>
      </c>
      <c r="L437" s="11">
        <v>106.60499353426837</v>
      </c>
      <c r="M437" s="5"/>
    </row>
    <row r="438" spans="1:13" x14ac:dyDescent="0.25">
      <c r="A438" s="44">
        <v>7415</v>
      </c>
      <c r="B438" t="s">
        <v>73</v>
      </c>
      <c r="C438" t="s">
        <v>516</v>
      </c>
      <c r="D438" s="8">
        <v>2.89</v>
      </c>
      <c r="E438" s="8">
        <v>24.48</v>
      </c>
      <c r="F438" s="11">
        <v>29.835720101537426</v>
      </c>
      <c r="G438" s="11">
        <v>64.714785190861633</v>
      </c>
      <c r="H438" s="11">
        <v>5.4494947076009392</v>
      </c>
      <c r="I438" s="11">
        <v>34.4499257627281</v>
      </c>
      <c r="J438" s="11">
        <v>54.524193667757068</v>
      </c>
      <c r="K438" s="11">
        <v>102.37864454094291</v>
      </c>
      <c r="L438" s="11">
        <v>109.14166085136078</v>
      </c>
      <c r="M438" s="5"/>
    </row>
    <row r="439" spans="1:13" x14ac:dyDescent="0.25">
      <c r="A439" s="44">
        <v>7471</v>
      </c>
      <c r="B439" t="s">
        <v>73</v>
      </c>
      <c r="C439" t="s">
        <v>517</v>
      </c>
      <c r="D439" s="8">
        <v>2.12</v>
      </c>
      <c r="E439" s="8">
        <v>10.16</v>
      </c>
      <c r="F439" s="11">
        <v>26.119601363536855</v>
      </c>
      <c r="G439" s="11">
        <v>68.888842557361329</v>
      </c>
      <c r="H439" s="11">
        <v>4.9915560791018176</v>
      </c>
      <c r="I439" s="11">
        <v>33.614102390359335</v>
      </c>
      <c r="J439" s="11">
        <v>45.161387951515522</v>
      </c>
      <c r="K439" s="11">
        <v>101.52731092436976</v>
      </c>
      <c r="L439" s="11">
        <v>101.42424337070932</v>
      </c>
      <c r="M439" s="5"/>
    </row>
    <row r="440" spans="1:13" x14ac:dyDescent="0.25">
      <c r="A440" s="44">
        <v>7472</v>
      </c>
      <c r="B440" t="s">
        <v>73</v>
      </c>
      <c r="C440" t="s">
        <v>518</v>
      </c>
      <c r="D440" s="8">
        <v>2.34</v>
      </c>
      <c r="E440" s="8">
        <v>10.88</v>
      </c>
      <c r="F440" s="11">
        <v>27.553671859662089</v>
      </c>
      <c r="G440" s="11">
        <v>66.618355256319944</v>
      </c>
      <c r="H440" s="11">
        <v>5.827972884017969</v>
      </c>
      <c r="I440" s="11">
        <v>32.222748322573942</v>
      </c>
      <c r="J440" s="11">
        <v>50.108779502647984</v>
      </c>
      <c r="K440" s="11">
        <v>99.891502573928307</v>
      </c>
      <c r="L440" s="11">
        <v>101.17524063592775</v>
      </c>
      <c r="M440" s="5"/>
    </row>
    <row r="441" spans="1:13" x14ac:dyDescent="0.25">
      <c r="A441" s="46">
        <v>7501</v>
      </c>
      <c r="B441" t="s">
        <v>74</v>
      </c>
      <c r="C441" t="s">
        <v>519</v>
      </c>
      <c r="D441" s="8">
        <v>2.25</v>
      </c>
      <c r="E441" s="8">
        <v>22.77</v>
      </c>
      <c r="F441" s="11">
        <v>24.270398288682898</v>
      </c>
      <c r="G441" s="11">
        <v>69.558546399103591</v>
      </c>
      <c r="H441" s="11">
        <v>6.1710553122135074</v>
      </c>
      <c r="I441" s="11">
        <v>32.935214423958442</v>
      </c>
      <c r="J441" s="11">
        <v>43.763786302021842</v>
      </c>
      <c r="K441" s="11">
        <v>103.43742309834344</v>
      </c>
      <c r="L441" s="11">
        <v>105.44876886417791</v>
      </c>
      <c r="M441" s="5"/>
    </row>
    <row r="442" spans="1:13" x14ac:dyDescent="0.25">
      <c r="A442" s="46">
        <v>7502</v>
      </c>
      <c r="B442" t="s">
        <v>74</v>
      </c>
      <c r="C442" t="s">
        <v>74</v>
      </c>
      <c r="D442" s="8">
        <v>2.23</v>
      </c>
      <c r="E442" s="8">
        <v>24.88</v>
      </c>
      <c r="F442" s="11">
        <v>23.518355795729072</v>
      </c>
      <c r="G442" s="11">
        <v>69.477159706077416</v>
      </c>
      <c r="H442" s="11">
        <v>7.004484498193511</v>
      </c>
      <c r="I442" s="11">
        <v>32.403312734490413</v>
      </c>
      <c r="J442" s="11">
        <v>43.932193577067949</v>
      </c>
      <c r="K442" s="11">
        <v>101.11667011763798</v>
      </c>
      <c r="L442" s="11">
        <v>104.32701743791046</v>
      </c>
      <c r="M442" s="5"/>
    </row>
    <row r="443" spans="1:13" x14ac:dyDescent="0.25">
      <c r="A443" s="46">
        <v>7503</v>
      </c>
      <c r="B443" t="s">
        <v>74</v>
      </c>
      <c r="C443" t="s">
        <v>520</v>
      </c>
      <c r="D443" s="8">
        <v>2.27</v>
      </c>
      <c r="E443" s="8">
        <v>30.58</v>
      </c>
      <c r="F443" s="11">
        <v>24.619906428739199</v>
      </c>
      <c r="G443" s="11">
        <v>69.655995480139907</v>
      </c>
      <c r="H443" s="11">
        <v>5.7240980911208865</v>
      </c>
      <c r="I443" s="11">
        <v>32.47506776616072</v>
      </c>
      <c r="J443" s="11">
        <v>43.562660056321597</v>
      </c>
      <c r="K443" s="11">
        <v>102.80792553396934</v>
      </c>
      <c r="L443" s="11">
        <v>102.3295364657491</v>
      </c>
      <c r="M443" s="5"/>
    </row>
    <row r="444" spans="1:13" x14ac:dyDescent="0.25">
      <c r="A444" s="46">
        <v>7504</v>
      </c>
      <c r="B444" t="s">
        <v>74</v>
      </c>
      <c r="C444" t="s">
        <v>521</v>
      </c>
      <c r="D444" s="8">
        <v>2.2200000000000002</v>
      </c>
      <c r="E444" s="8">
        <v>27.31</v>
      </c>
      <c r="F444" s="11">
        <v>24.174309039835691</v>
      </c>
      <c r="G444" s="11">
        <v>68.509608508349871</v>
      </c>
      <c r="H444" s="11">
        <v>7.3160824518144318</v>
      </c>
      <c r="I444" s="11">
        <v>32.2844736345277</v>
      </c>
      <c r="J444" s="11">
        <v>45.964926931106469</v>
      </c>
      <c r="K444" s="11">
        <v>100.81685642398411</v>
      </c>
      <c r="L444" s="11">
        <v>102.7485359106097</v>
      </c>
      <c r="M444" s="5"/>
    </row>
    <row r="445" spans="1:13" x14ac:dyDescent="0.25">
      <c r="A445" s="46">
        <v>7505</v>
      </c>
      <c r="B445" t="s">
        <v>74</v>
      </c>
      <c r="C445" t="s">
        <v>522</v>
      </c>
      <c r="D445" s="8">
        <v>2.41</v>
      </c>
      <c r="E445" s="8">
        <v>30.76</v>
      </c>
      <c r="F445" s="11">
        <v>24.788685062207318</v>
      </c>
      <c r="G445" s="11">
        <v>69.183451319028933</v>
      </c>
      <c r="H445" s="11">
        <v>6.0278636187637433</v>
      </c>
      <c r="I445" s="11">
        <v>33.927279900059176</v>
      </c>
      <c r="J445" s="11">
        <v>44.543236992998871</v>
      </c>
      <c r="K445" s="11">
        <v>103.48000594618701</v>
      </c>
      <c r="L445" s="11">
        <v>104.53644571680248</v>
      </c>
      <c r="M445" s="5"/>
    </row>
    <row r="446" spans="1:13" x14ac:dyDescent="0.25">
      <c r="A446" s="46">
        <v>7571</v>
      </c>
      <c r="B446" t="s">
        <v>74</v>
      </c>
      <c r="C446" t="s">
        <v>523</v>
      </c>
      <c r="D446" s="8">
        <v>2.13</v>
      </c>
      <c r="E446" s="8">
        <v>19.79</v>
      </c>
      <c r="F446" s="11">
        <v>23.211176675419033</v>
      </c>
      <c r="G446" s="11">
        <v>69.41613258420621</v>
      </c>
      <c r="H446" s="11">
        <v>7.3726907403747513</v>
      </c>
      <c r="I446" s="11">
        <v>32.206348758199461</v>
      </c>
      <c r="J446" s="11">
        <v>44.058731417647898</v>
      </c>
      <c r="K446" s="11">
        <v>99.435049456633948</v>
      </c>
      <c r="L446" s="11">
        <v>103.60245121370777</v>
      </c>
      <c r="M446" s="5"/>
    </row>
    <row r="447" spans="1:13" x14ac:dyDescent="0.25">
      <c r="A447" s="47">
        <v>7601</v>
      </c>
      <c r="B447" t="s">
        <v>75</v>
      </c>
      <c r="C447" t="s">
        <v>524</v>
      </c>
      <c r="D447" s="8">
        <v>2.63</v>
      </c>
      <c r="E447" s="8">
        <v>28.91</v>
      </c>
      <c r="F447" s="11">
        <v>29.215755836426503</v>
      </c>
      <c r="G447" s="11">
        <v>64.926372864124701</v>
      </c>
      <c r="H447" s="11">
        <v>5.8578712994487896</v>
      </c>
      <c r="I447" s="11">
        <v>32.139131724002816</v>
      </c>
      <c r="J447" s="11">
        <v>54.020616875173303</v>
      </c>
      <c r="K447" s="11">
        <v>100.187619249523</v>
      </c>
      <c r="L447" s="11">
        <v>104.85672820547435</v>
      </c>
      <c r="M447" s="5"/>
    </row>
    <row r="448" spans="1:13" x14ac:dyDescent="0.25">
      <c r="A448" s="47">
        <v>7602</v>
      </c>
      <c r="B448" t="s">
        <v>75</v>
      </c>
      <c r="C448" t="s">
        <v>525</v>
      </c>
      <c r="D448" s="8">
        <v>2.46</v>
      </c>
      <c r="E448" s="8">
        <v>25.44</v>
      </c>
      <c r="F448" s="11">
        <v>26.347682364452137</v>
      </c>
      <c r="G448" s="11">
        <v>67.020617230531741</v>
      </c>
      <c r="H448" s="11">
        <v>6.6317004050161197</v>
      </c>
      <c r="I448" s="11">
        <v>31.417985210479742</v>
      </c>
      <c r="J448" s="11">
        <v>49.207817134880479</v>
      </c>
      <c r="K448" s="11">
        <v>99.286080512095452</v>
      </c>
      <c r="L448" s="11">
        <v>104.68426599621601</v>
      </c>
      <c r="M448" s="5"/>
    </row>
    <row r="449" spans="1:13" x14ac:dyDescent="0.25">
      <c r="A449" s="47">
        <v>7603</v>
      </c>
      <c r="B449" t="s">
        <v>75</v>
      </c>
      <c r="C449" t="s">
        <v>526</v>
      </c>
      <c r="D449" s="8">
        <v>2.5499999999999998</v>
      </c>
      <c r="E449" s="8">
        <v>20.48</v>
      </c>
      <c r="F449" s="11">
        <v>25.565138294646765</v>
      </c>
      <c r="G449" s="11">
        <v>67.743040348572137</v>
      </c>
      <c r="H449" s="11">
        <v>6.691821356781098</v>
      </c>
      <c r="I449" s="11">
        <v>34.06383002616537</v>
      </c>
      <c r="J449" s="11">
        <v>47.616640005304646</v>
      </c>
      <c r="K449" s="11">
        <v>106.6269882705092</v>
      </c>
      <c r="L449" s="11">
        <v>115.59756920999324</v>
      </c>
      <c r="M449" s="5"/>
    </row>
    <row r="450" spans="1:13" x14ac:dyDescent="0.25">
      <c r="A450" s="47">
        <v>7604</v>
      </c>
      <c r="B450" t="s">
        <v>75</v>
      </c>
      <c r="C450" t="s">
        <v>527</v>
      </c>
      <c r="D450" s="8">
        <v>2.4500000000000002</v>
      </c>
      <c r="E450" s="8">
        <v>20.89</v>
      </c>
      <c r="F450" s="11">
        <v>27.976138057450008</v>
      </c>
      <c r="G450" s="11">
        <v>67.00489567738758</v>
      </c>
      <c r="H450" s="11">
        <v>5.0189662651624118</v>
      </c>
      <c r="I450" s="11">
        <v>32.751135855862906</v>
      </c>
      <c r="J450" s="11">
        <v>49.242826198067512</v>
      </c>
      <c r="K450" s="11">
        <v>104.05247114885461</v>
      </c>
      <c r="L450" s="11">
        <v>103.14383977341694</v>
      </c>
      <c r="M450" s="5"/>
    </row>
    <row r="451" spans="1:13" x14ac:dyDescent="0.25">
      <c r="A451" s="47">
        <v>7605</v>
      </c>
      <c r="B451" t="s">
        <v>75</v>
      </c>
      <c r="C451" t="s">
        <v>606</v>
      </c>
      <c r="D451" s="8">
        <v>2.4700000000000002</v>
      </c>
      <c r="E451" s="8">
        <v>29.12</v>
      </c>
      <c r="F451" s="11">
        <v>27.122190623840819</v>
      </c>
      <c r="G451" s="11">
        <v>68.855515080036895</v>
      </c>
      <c r="H451" s="11">
        <v>4.0222942961222765</v>
      </c>
      <c r="I451" s="11">
        <v>33.613121677018043</v>
      </c>
      <c r="J451" s="11">
        <v>45.231649031687709</v>
      </c>
      <c r="K451" s="11">
        <v>105.6126489943189</v>
      </c>
      <c r="L451" s="11">
        <v>103.56258280052992</v>
      </c>
      <c r="M451" s="5"/>
    </row>
    <row r="452" spans="1:13" x14ac:dyDescent="0.25">
      <c r="A452" s="47">
        <v>7606</v>
      </c>
      <c r="B452" t="s">
        <v>75</v>
      </c>
      <c r="C452" t="s">
        <v>528</v>
      </c>
      <c r="D452" s="8">
        <v>2.66</v>
      </c>
      <c r="E452" s="8">
        <v>29.84</v>
      </c>
      <c r="F452" s="11">
        <v>28.532879607598133</v>
      </c>
      <c r="G452" s="11">
        <v>66.912360924643423</v>
      </c>
      <c r="H452" s="11">
        <v>4.5547594677584442</v>
      </c>
      <c r="I452" s="11">
        <v>34.297278974863417</v>
      </c>
      <c r="J452" s="11">
        <v>49.449217779985098</v>
      </c>
      <c r="K452" s="11">
        <v>105.25490089082304</v>
      </c>
      <c r="L452" s="11">
        <v>102.63488572999293</v>
      </c>
      <c r="M452" s="5"/>
    </row>
    <row r="453" spans="1:13" x14ac:dyDescent="0.25">
      <c r="A453" s="48">
        <v>8101</v>
      </c>
      <c r="B453" t="s">
        <v>76</v>
      </c>
      <c r="C453" t="s">
        <v>607</v>
      </c>
      <c r="D453" s="8">
        <v>2.6</v>
      </c>
      <c r="E453" s="8">
        <v>25.93</v>
      </c>
      <c r="F453" s="11">
        <v>26.002668316352008</v>
      </c>
      <c r="G453" s="11">
        <v>66.986665871637584</v>
      </c>
      <c r="H453" s="11">
        <v>7.0106658120104051</v>
      </c>
      <c r="I453" s="11">
        <v>32.689111331400419</v>
      </c>
      <c r="J453" s="11">
        <v>49.283441262211539</v>
      </c>
      <c r="K453" s="11">
        <v>102.30552330403052</v>
      </c>
      <c r="L453" s="11">
        <v>103.21564266518395</v>
      </c>
      <c r="M453" s="5"/>
    </row>
    <row r="454" spans="1:13" x14ac:dyDescent="0.25">
      <c r="A454" s="48">
        <v>8102</v>
      </c>
      <c r="B454" t="s">
        <v>76</v>
      </c>
      <c r="C454" t="s">
        <v>529</v>
      </c>
      <c r="D454" s="8">
        <v>2.2999999999999998</v>
      </c>
      <c r="E454" s="8">
        <v>25.04</v>
      </c>
      <c r="F454" s="11">
        <v>24.506499759268173</v>
      </c>
      <c r="G454" s="11">
        <v>67.933744389395372</v>
      </c>
      <c r="H454" s="11">
        <v>7.5597558513364502</v>
      </c>
      <c r="I454" s="11">
        <v>34.899902154161552</v>
      </c>
      <c r="J454" s="11">
        <v>47.202249631348522</v>
      </c>
      <c r="K454" s="11">
        <v>99.386854532786245</v>
      </c>
      <c r="L454" s="11">
        <v>103.24710564399422</v>
      </c>
      <c r="M454" s="5"/>
    </row>
    <row r="455" spans="1:13" x14ac:dyDescent="0.25">
      <c r="A455" s="48">
        <v>8103</v>
      </c>
      <c r="B455" t="s">
        <v>76</v>
      </c>
      <c r="C455" t="s">
        <v>530</v>
      </c>
      <c r="D455" s="8">
        <v>2.25</v>
      </c>
      <c r="E455" s="8">
        <v>23.78</v>
      </c>
      <c r="F455" s="11">
        <v>22.788553767451774</v>
      </c>
      <c r="G455" s="11">
        <v>69.796884436392062</v>
      </c>
      <c r="H455" s="11">
        <v>7.4145617961561685</v>
      </c>
      <c r="I455" s="11">
        <v>34.432173434225014</v>
      </c>
      <c r="J455" s="11">
        <v>43.272870712636077</v>
      </c>
      <c r="K455" s="11">
        <v>101.85458245003878</v>
      </c>
      <c r="L455" s="11">
        <v>105.57426162574899</v>
      </c>
      <c r="M455" s="5"/>
    </row>
    <row r="456" spans="1:13" x14ac:dyDescent="0.25">
      <c r="A456" s="48">
        <v>8104</v>
      </c>
      <c r="B456" t="s">
        <v>76</v>
      </c>
      <c r="C456" t="s">
        <v>531</v>
      </c>
      <c r="D456" s="8">
        <v>2.27</v>
      </c>
      <c r="E456" s="8">
        <v>25.81</v>
      </c>
      <c r="F456" s="11">
        <v>26.267742222892348</v>
      </c>
      <c r="G456" s="11">
        <v>68.937488434572231</v>
      </c>
      <c r="H456" s="11">
        <v>4.7947693425354165</v>
      </c>
      <c r="I456" s="11">
        <v>33.622326244440025</v>
      </c>
      <c r="J456" s="11">
        <v>45.058954526474857</v>
      </c>
      <c r="K456" s="11">
        <v>104.01431787357205</v>
      </c>
      <c r="L456" s="11">
        <v>103.18078277075999</v>
      </c>
      <c r="M456" s="5"/>
    </row>
    <row r="457" spans="1:13" x14ac:dyDescent="0.25">
      <c r="A457" s="48">
        <v>8105</v>
      </c>
      <c r="B457" t="s">
        <v>76</v>
      </c>
      <c r="C457" t="s">
        <v>532</v>
      </c>
      <c r="D457" s="8">
        <v>2.82</v>
      </c>
      <c r="E457" s="8">
        <v>26.42</v>
      </c>
      <c r="F457" s="11">
        <v>27.838363044269148</v>
      </c>
      <c r="G457" s="11">
        <v>67.117137102141143</v>
      </c>
      <c r="H457" s="11">
        <v>5.0444998535897136</v>
      </c>
      <c r="I457" s="11">
        <v>33.03637186437971</v>
      </c>
      <c r="J457" s="11">
        <v>48.99324422586232</v>
      </c>
      <c r="K457" s="11">
        <v>105.80168005843682</v>
      </c>
      <c r="L457" s="11">
        <v>106.43748267258108</v>
      </c>
      <c r="M457" s="5"/>
    </row>
    <row r="458" spans="1:13" x14ac:dyDescent="0.25">
      <c r="A458" s="48">
        <v>8106</v>
      </c>
      <c r="B458" t="s">
        <v>76</v>
      </c>
      <c r="C458" t="s">
        <v>533</v>
      </c>
      <c r="D458" s="8">
        <v>2.82</v>
      </c>
      <c r="E458" s="8">
        <v>25.43</v>
      </c>
      <c r="F458" s="11">
        <v>27.342004485670302</v>
      </c>
      <c r="G458" s="11">
        <v>67.287198686033094</v>
      </c>
      <c r="H458" s="11">
        <v>5.3707968282966032</v>
      </c>
      <c r="I458" s="11">
        <v>33.835505409821302</v>
      </c>
      <c r="J458" s="11">
        <v>48.616678882126131</v>
      </c>
      <c r="K458" s="11">
        <v>103.71904075481588</v>
      </c>
      <c r="L458" s="11">
        <v>106.27990274255536</v>
      </c>
      <c r="M458" s="5"/>
    </row>
    <row r="459" spans="1:13" x14ac:dyDescent="0.25">
      <c r="A459" s="48">
        <v>8107</v>
      </c>
      <c r="B459" t="s">
        <v>76</v>
      </c>
      <c r="C459" t="s">
        <v>534</v>
      </c>
      <c r="D459" s="8">
        <v>2.58</v>
      </c>
      <c r="E459" s="8">
        <v>35.21</v>
      </c>
      <c r="F459" s="11">
        <v>27.166179144596409</v>
      </c>
      <c r="G459" s="11">
        <v>68.180620338893718</v>
      </c>
      <c r="H459" s="11">
        <v>4.6532005165098695</v>
      </c>
      <c r="I459" s="11">
        <v>34.677313094579283</v>
      </c>
      <c r="J459" s="11">
        <v>46.669243405159918</v>
      </c>
      <c r="K459" s="11">
        <v>102.97126352245832</v>
      </c>
      <c r="L459" s="11">
        <v>105.04070741303417</v>
      </c>
      <c r="M459" s="5"/>
    </row>
    <row r="460" spans="1:13" x14ac:dyDescent="0.25">
      <c r="A460" s="48">
        <v>8108</v>
      </c>
      <c r="B460" t="s">
        <v>76</v>
      </c>
      <c r="C460" t="s">
        <v>535</v>
      </c>
      <c r="D460" s="8">
        <v>3.03</v>
      </c>
      <c r="E460" s="8">
        <v>31.9</v>
      </c>
      <c r="F460" s="11">
        <v>28.406689945065942</v>
      </c>
      <c r="G460" s="11">
        <v>64.126059204234593</v>
      </c>
      <c r="H460" s="11">
        <v>7.4672508506994637</v>
      </c>
      <c r="I460" s="11">
        <v>30.589595889953962</v>
      </c>
      <c r="J460" s="11">
        <v>55.942843269864397</v>
      </c>
      <c r="K460" s="11">
        <v>104.75420660761856</v>
      </c>
      <c r="L460" s="11">
        <v>108.22042237529332</v>
      </c>
      <c r="M460" s="5"/>
    </row>
    <row r="461" spans="1:13" x14ac:dyDescent="0.25">
      <c r="A461" s="48">
        <v>8109</v>
      </c>
      <c r="B461" t="s">
        <v>76</v>
      </c>
      <c r="C461" t="s">
        <v>536</v>
      </c>
      <c r="D461" s="8">
        <v>2.83</v>
      </c>
      <c r="E461" s="8">
        <v>27.14</v>
      </c>
      <c r="F461" s="11">
        <v>29.280869034658501</v>
      </c>
      <c r="G461" s="11">
        <v>66.804646655580413</v>
      </c>
      <c r="H461" s="11">
        <v>3.9144843097610869</v>
      </c>
      <c r="I461" s="11">
        <v>34.40247885436731</v>
      </c>
      <c r="J461" s="11">
        <v>49.690186246418335</v>
      </c>
      <c r="K461" s="11">
        <v>104.94042073260432</v>
      </c>
      <c r="L461" s="11">
        <v>106.86281562477519</v>
      </c>
      <c r="M461" s="5"/>
    </row>
    <row r="462" spans="1:13" x14ac:dyDescent="0.25">
      <c r="A462" s="48">
        <v>8171</v>
      </c>
      <c r="B462" t="s">
        <v>76</v>
      </c>
      <c r="C462" t="s">
        <v>537</v>
      </c>
      <c r="D462" s="8">
        <v>2.1800000000000002</v>
      </c>
      <c r="E462" s="8">
        <v>18.11</v>
      </c>
      <c r="F462" s="11">
        <v>23.250594244950609</v>
      </c>
      <c r="G462" s="11">
        <v>69.904298845042007</v>
      </c>
      <c r="H462" s="11">
        <v>6.8451069100073827</v>
      </c>
      <c r="I462" s="11">
        <v>33.595459130279586</v>
      </c>
      <c r="J462" s="11">
        <v>43.052718720019804</v>
      </c>
      <c r="K462" s="11">
        <v>99.772566433830875</v>
      </c>
      <c r="L462" s="11">
        <v>104.86626430526698</v>
      </c>
      <c r="M462" s="5"/>
    </row>
    <row r="463" spans="1:13" x14ac:dyDescent="0.25">
      <c r="A463" s="48">
        <v>8172</v>
      </c>
      <c r="B463" t="s">
        <v>76</v>
      </c>
      <c r="C463" t="s">
        <v>538</v>
      </c>
      <c r="D463" s="8">
        <v>2.2799999999999998</v>
      </c>
      <c r="E463" s="8">
        <v>24.82</v>
      </c>
      <c r="F463" s="11">
        <v>24.485219807983828</v>
      </c>
      <c r="G463" s="11">
        <v>69.78061310426142</v>
      </c>
      <c r="H463" s="11">
        <v>5.7341670877547584</v>
      </c>
      <c r="I463" s="11">
        <v>35.171382853292911</v>
      </c>
      <c r="J463" s="11">
        <v>43.306278852246329</v>
      </c>
      <c r="K463" s="11">
        <v>99.575603504422546</v>
      </c>
      <c r="L463" s="11">
        <v>101.90971173022301</v>
      </c>
      <c r="M463" s="5"/>
    </row>
    <row r="464" spans="1:13" x14ac:dyDescent="0.25">
      <c r="A464" s="49">
        <v>8201</v>
      </c>
      <c r="B464" t="s">
        <v>77</v>
      </c>
      <c r="C464" t="s">
        <v>539</v>
      </c>
      <c r="D464" s="8">
        <v>2.14</v>
      </c>
      <c r="E464" s="8">
        <v>30.3</v>
      </c>
      <c r="F464" s="11">
        <v>23.313582497721058</v>
      </c>
      <c r="G464" s="11">
        <v>70.213508432087508</v>
      </c>
      <c r="H464" s="11">
        <v>6.4729090701914309</v>
      </c>
      <c r="I464" s="11">
        <v>32.541875569735645</v>
      </c>
      <c r="J464" s="11">
        <v>42.422736355245405</v>
      </c>
      <c r="K464" s="11">
        <v>104.8463098312107</v>
      </c>
      <c r="L464" s="11">
        <v>108.43901103913876</v>
      </c>
      <c r="M464" s="5"/>
    </row>
    <row r="465" spans="1:13" x14ac:dyDescent="0.25">
      <c r="A465" s="49">
        <v>8202</v>
      </c>
      <c r="B465" t="s">
        <v>77</v>
      </c>
      <c r="C465" t="s">
        <v>540</v>
      </c>
      <c r="D465" s="8">
        <v>2.67</v>
      </c>
      <c r="E465" s="8">
        <v>29.34</v>
      </c>
      <c r="F465" s="11">
        <v>28.055689208275776</v>
      </c>
      <c r="G465" s="11">
        <v>67.402877586180125</v>
      </c>
      <c r="H465" s="11">
        <v>4.541433205544088</v>
      </c>
      <c r="I465" s="11">
        <v>31.706219249095902</v>
      </c>
      <c r="J465" s="11">
        <v>48.36161834803233</v>
      </c>
      <c r="K465" s="11">
        <v>108.24525679563011</v>
      </c>
      <c r="L465" s="11">
        <v>118.01494130202774</v>
      </c>
      <c r="M465" s="5"/>
    </row>
    <row r="466" spans="1:13" x14ac:dyDescent="0.25">
      <c r="A466" s="49">
        <v>8203</v>
      </c>
      <c r="B466" t="s">
        <v>77</v>
      </c>
      <c r="C466" t="s">
        <v>541</v>
      </c>
      <c r="D466" s="8">
        <v>2.39</v>
      </c>
      <c r="E466" s="8">
        <v>32.130000000000003</v>
      </c>
      <c r="F466" s="11">
        <v>26.385795429133687</v>
      </c>
      <c r="G466" s="11">
        <v>67.80535802137841</v>
      </c>
      <c r="H466" s="11">
        <v>5.8088465494879022</v>
      </c>
      <c r="I466" s="11">
        <v>33.104342770249119</v>
      </c>
      <c r="J466" s="11">
        <v>47.480970410142085</v>
      </c>
      <c r="K466" s="11">
        <v>103.92360731093358</v>
      </c>
      <c r="L466" s="11">
        <v>110.99771949828963</v>
      </c>
      <c r="M466" s="5"/>
    </row>
    <row r="467" spans="1:13" x14ac:dyDescent="0.25">
      <c r="A467" s="49">
        <v>8204</v>
      </c>
      <c r="B467" t="s">
        <v>77</v>
      </c>
      <c r="C467" t="s">
        <v>542</v>
      </c>
      <c r="D467" s="8">
        <v>2.76</v>
      </c>
      <c r="E467" s="8">
        <v>31.2</v>
      </c>
      <c r="F467" s="11">
        <v>25.760017581129585</v>
      </c>
      <c r="G467" s="11">
        <v>69.232290674675852</v>
      </c>
      <c r="H467" s="11">
        <v>5.007691744194565</v>
      </c>
      <c r="I467" s="11">
        <v>34.348765658193535</v>
      </c>
      <c r="J467" s="11">
        <v>44.441270143584212</v>
      </c>
      <c r="K467" s="11">
        <v>107.09534031691609</v>
      </c>
      <c r="L467" s="11">
        <v>113.78029042332504</v>
      </c>
      <c r="M467" s="5"/>
    </row>
    <row r="468" spans="1:13" x14ac:dyDescent="0.25">
      <c r="A468" s="49">
        <v>8205</v>
      </c>
      <c r="B468" t="s">
        <v>77</v>
      </c>
      <c r="C468" t="s">
        <v>543</v>
      </c>
      <c r="D468" s="8">
        <v>2.33</v>
      </c>
      <c r="E468" s="8">
        <v>20.73</v>
      </c>
      <c r="F468" s="11">
        <v>26.633198898195936</v>
      </c>
      <c r="G468" s="11">
        <v>67.498660349155315</v>
      </c>
      <c r="H468" s="11">
        <v>5.8681407526487481</v>
      </c>
      <c r="I468" s="11">
        <v>31.241597803912718</v>
      </c>
      <c r="J468" s="11">
        <v>48.151088455270965</v>
      </c>
      <c r="K468" s="11">
        <v>104.83535528596187</v>
      </c>
      <c r="L468" s="11">
        <v>111.39949109414758</v>
      </c>
      <c r="M468" s="5"/>
    </row>
    <row r="469" spans="1:13" x14ac:dyDescent="0.25">
      <c r="A469" s="49">
        <v>8206</v>
      </c>
      <c r="B469" t="s">
        <v>77</v>
      </c>
      <c r="C469" t="s">
        <v>544</v>
      </c>
      <c r="D469" s="8">
        <v>2.58</v>
      </c>
      <c r="E469" s="8">
        <v>21.03</v>
      </c>
      <c r="F469" s="11">
        <v>26.956856019161961</v>
      </c>
      <c r="G469" s="11">
        <v>67.99440123803609</v>
      </c>
      <c r="H469" s="11">
        <v>5.0487427428019442</v>
      </c>
      <c r="I469" s="11">
        <v>31.544292318459156</v>
      </c>
      <c r="J469" s="11">
        <v>47.070932575636768</v>
      </c>
      <c r="K469" s="11">
        <v>107.51293747059665</v>
      </c>
      <c r="L469" s="11">
        <v>107.75123344585822</v>
      </c>
      <c r="M469" s="5"/>
    </row>
    <row r="470" spans="1:13" x14ac:dyDescent="0.25">
      <c r="A470" s="49">
        <v>8207</v>
      </c>
      <c r="B470" t="s">
        <v>77</v>
      </c>
      <c r="C470" t="s">
        <v>545</v>
      </c>
      <c r="D470" s="8">
        <v>2.85</v>
      </c>
      <c r="E470" s="8">
        <v>25.51</v>
      </c>
      <c r="F470" s="11">
        <v>30.506887789220276</v>
      </c>
      <c r="G470" s="11">
        <v>64.181064354930882</v>
      </c>
      <c r="H470" s="11">
        <v>5.3120478558488458</v>
      </c>
      <c r="I470" s="11">
        <v>31.257067127068467</v>
      </c>
      <c r="J470" s="11">
        <v>55.809195445848417</v>
      </c>
      <c r="K470" s="11">
        <v>106.20518477661334</v>
      </c>
      <c r="L470" s="11">
        <v>110.27318828725667</v>
      </c>
      <c r="M470" s="5"/>
    </row>
    <row r="471" spans="1:13" x14ac:dyDescent="0.25">
      <c r="A471" s="49">
        <v>8208</v>
      </c>
      <c r="B471" t="s">
        <v>77</v>
      </c>
      <c r="C471" t="s">
        <v>546</v>
      </c>
      <c r="D471" s="8">
        <v>2.31</v>
      </c>
      <c r="E471" s="8">
        <v>24.56</v>
      </c>
      <c r="F471" s="11">
        <v>28.127130062613929</v>
      </c>
      <c r="G471" s="11">
        <v>67.092018704921927</v>
      </c>
      <c r="H471" s="11">
        <v>4.7808512324641361</v>
      </c>
      <c r="I471" s="11">
        <v>32.571926765475148</v>
      </c>
      <c r="J471" s="11">
        <v>49.049025398700529</v>
      </c>
      <c r="K471" s="11">
        <v>105.23456308152774</v>
      </c>
      <c r="L471" s="11">
        <v>106.30522088353413</v>
      </c>
      <c r="M471" s="5"/>
    </row>
    <row r="472" spans="1:13" x14ac:dyDescent="0.25">
      <c r="A472" s="49">
        <v>8271</v>
      </c>
      <c r="B472" t="s">
        <v>77</v>
      </c>
      <c r="C472" t="s">
        <v>547</v>
      </c>
      <c r="D472" s="8">
        <v>2.0499999999999998</v>
      </c>
      <c r="E472" s="8">
        <v>19.03</v>
      </c>
      <c r="F472" s="11">
        <v>25.619325418018978</v>
      </c>
      <c r="G472" s="11">
        <v>69.174095832819788</v>
      </c>
      <c r="H472" s="11">
        <v>5.2065787491612232</v>
      </c>
      <c r="I472" s="11">
        <v>31.813720791166254</v>
      </c>
      <c r="J472" s="11">
        <v>44.562785817512321</v>
      </c>
      <c r="K472" s="11">
        <v>102.27791063794425</v>
      </c>
      <c r="L472" s="11">
        <v>106.14037682273951</v>
      </c>
      <c r="M472" s="5"/>
    </row>
    <row r="473" spans="1:13" x14ac:dyDescent="0.25">
      <c r="A473" s="49">
        <v>8272</v>
      </c>
      <c r="B473" t="s">
        <v>77</v>
      </c>
      <c r="C473" t="s">
        <v>548</v>
      </c>
      <c r="D473" s="8">
        <v>2.06</v>
      </c>
      <c r="E473" s="8">
        <v>19.97</v>
      </c>
      <c r="F473" s="11">
        <v>23.721386103325933</v>
      </c>
      <c r="G473" s="11">
        <v>70.192946360587754</v>
      </c>
      <c r="H473" s="11">
        <v>6.0856675360863157</v>
      </c>
      <c r="I473" s="11">
        <v>32.094545336724615</v>
      </c>
      <c r="J473" s="11">
        <v>42.464457163958642</v>
      </c>
      <c r="K473" s="11">
        <v>103.52132412337822</v>
      </c>
      <c r="L473" s="11">
        <v>107.6189478096835</v>
      </c>
      <c r="M473" s="5"/>
    </row>
    <row r="474" spans="1:13" x14ac:dyDescent="0.25">
      <c r="A474" s="50">
        <v>9101</v>
      </c>
      <c r="B474" t="s">
        <v>78</v>
      </c>
      <c r="C474" t="s">
        <v>549</v>
      </c>
      <c r="D474" s="8">
        <v>2.4500000000000002</v>
      </c>
      <c r="E474" s="8">
        <v>21.09</v>
      </c>
      <c r="F474" s="11">
        <v>28.313915857605178</v>
      </c>
      <c r="G474" s="11">
        <v>67.184466019417471</v>
      </c>
      <c r="H474" s="11">
        <v>4.5016181229773462</v>
      </c>
      <c r="I474" s="11">
        <v>32.455231930960089</v>
      </c>
      <c r="J474" s="11">
        <v>48.843930635838149</v>
      </c>
      <c r="K474" s="11">
        <v>103.36082836082836</v>
      </c>
      <c r="L474" s="11">
        <v>101.71639289306067</v>
      </c>
      <c r="M474" s="5"/>
    </row>
    <row r="475" spans="1:13" x14ac:dyDescent="0.25">
      <c r="A475" s="50">
        <v>9102</v>
      </c>
      <c r="B475" t="s">
        <v>78</v>
      </c>
      <c r="C475" t="s">
        <v>550</v>
      </c>
      <c r="D475" s="8">
        <v>2.78</v>
      </c>
      <c r="E475" s="8">
        <v>31.23</v>
      </c>
      <c r="F475" s="11">
        <v>26.362752637000714</v>
      </c>
      <c r="G475" s="11">
        <v>70.144944358196824</v>
      </c>
      <c r="H475" s="11">
        <v>3.4923030048024604</v>
      </c>
      <c r="I475" s="11">
        <v>34.31655615687071</v>
      </c>
      <c r="J475" s="11">
        <v>42.561949282257061</v>
      </c>
      <c r="K475" s="11">
        <v>107.65568979542648</v>
      </c>
      <c r="L475" s="11">
        <v>110.29607895438784</v>
      </c>
      <c r="M475" s="5"/>
    </row>
    <row r="476" spans="1:13" x14ac:dyDescent="0.25">
      <c r="A476" s="50">
        <v>9103</v>
      </c>
      <c r="B476" t="s">
        <v>78</v>
      </c>
      <c r="C476" t="s">
        <v>551</v>
      </c>
      <c r="D476" s="8">
        <v>3.95</v>
      </c>
      <c r="E476" s="8">
        <v>45.69</v>
      </c>
      <c r="F476" s="11">
        <v>31.703731703731702</v>
      </c>
      <c r="G476" s="11">
        <v>64.530964530964525</v>
      </c>
      <c r="H476" s="11">
        <v>3.7653037653037651</v>
      </c>
      <c r="I476" s="11">
        <v>31.852831852831855</v>
      </c>
      <c r="J476" s="11">
        <v>54.964365908425265</v>
      </c>
      <c r="K476" s="11">
        <v>109.1855561412757</v>
      </c>
      <c r="L476" s="11">
        <v>104.91758984058363</v>
      </c>
      <c r="M476" s="5"/>
    </row>
    <row r="477" spans="1:13" x14ac:dyDescent="0.25">
      <c r="A477" s="50">
        <v>9104</v>
      </c>
      <c r="B477" t="s">
        <v>78</v>
      </c>
      <c r="C477" t="s">
        <v>552</v>
      </c>
      <c r="D477" s="8">
        <v>2.41</v>
      </c>
      <c r="E477" s="8">
        <v>36.64</v>
      </c>
      <c r="F477" s="11">
        <v>23.47104591974</v>
      </c>
      <c r="G477" s="11">
        <v>73.328454742098288</v>
      </c>
      <c r="H477" s="11">
        <v>3.2004993381617037</v>
      </c>
      <c r="I477" s="11">
        <v>35.88993037245892</v>
      </c>
      <c r="J477" s="11">
        <v>36.372708727747693</v>
      </c>
      <c r="K477" s="11">
        <v>133.75679211108874</v>
      </c>
      <c r="L477" s="11">
        <v>135.10750793091293</v>
      </c>
      <c r="M477" s="5"/>
    </row>
    <row r="478" spans="1:13" x14ac:dyDescent="0.25">
      <c r="A478" s="50">
        <v>9105</v>
      </c>
      <c r="B478" t="s">
        <v>78</v>
      </c>
      <c r="C478" t="s">
        <v>553</v>
      </c>
      <c r="D478" s="8">
        <v>2.25</v>
      </c>
      <c r="E478" s="8">
        <v>20.61</v>
      </c>
      <c r="F478" s="11">
        <v>26.195022339301538</v>
      </c>
      <c r="G478" s="11">
        <v>69.201138996413391</v>
      </c>
      <c r="H478" s="11">
        <v>4.603838664285071</v>
      </c>
      <c r="I478" s="11">
        <v>34.592515031057076</v>
      </c>
      <c r="J478" s="11">
        <v>44.506292020977966</v>
      </c>
      <c r="K478" s="11">
        <v>107.26385356416878</v>
      </c>
      <c r="L478" s="11">
        <v>108.27247832040163</v>
      </c>
      <c r="M478" s="5"/>
    </row>
    <row r="479" spans="1:13" x14ac:dyDescent="0.25">
      <c r="A479" s="50">
        <v>9111</v>
      </c>
      <c r="B479" t="s">
        <v>78</v>
      </c>
      <c r="C479" t="s">
        <v>554</v>
      </c>
      <c r="D479" s="8">
        <v>2.5099999999999998</v>
      </c>
      <c r="E479" s="8">
        <v>35.97</v>
      </c>
      <c r="F479" s="11">
        <v>28.218501235245675</v>
      </c>
      <c r="G479" s="11">
        <v>67.854446884435902</v>
      </c>
      <c r="H479" s="11">
        <v>3.9270518803184191</v>
      </c>
      <c r="I479" s="11">
        <v>35.125583310458417</v>
      </c>
      <c r="J479" s="11">
        <v>47.374276250916537</v>
      </c>
      <c r="K479" s="11">
        <v>105.38434109316897</v>
      </c>
      <c r="L479" s="11">
        <v>108.48139922265408</v>
      </c>
      <c r="M479" s="5"/>
    </row>
    <row r="480" spans="1:13" x14ac:dyDescent="0.25">
      <c r="A480" s="50">
        <v>9112</v>
      </c>
      <c r="B480" t="s">
        <v>78</v>
      </c>
      <c r="C480" t="s">
        <v>555</v>
      </c>
      <c r="D480" s="8">
        <v>2.7</v>
      </c>
      <c r="E480" s="8">
        <v>40.42</v>
      </c>
      <c r="F480" s="11">
        <v>24.621072974397471</v>
      </c>
      <c r="G480" s="11">
        <v>69.695420932424014</v>
      </c>
      <c r="H480" s="11">
        <v>5.6835060931785151</v>
      </c>
      <c r="I480" s="11">
        <v>33.022152656881374</v>
      </c>
      <c r="J480" s="11">
        <v>43.481449228865408</v>
      </c>
      <c r="K480" s="11">
        <v>103.87666872535513</v>
      </c>
      <c r="L480" s="11">
        <v>104.62615653913478</v>
      </c>
      <c r="M480" s="5"/>
    </row>
    <row r="481" spans="1:13" x14ac:dyDescent="0.25">
      <c r="A481" s="51">
        <v>9201</v>
      </c>
      <c r="B481" t="s">
        <v>79</v>
      </c>
      <c r="C481" t="s">
        <v>556</v>
      </c>
      <c r="D481" s="8">
        <v>3.45</v>
      </c>
      <c r="E481" s="8">
        <v>38.93</v>
      </c>
      <c r="F481" s="11">
        <v>30.712225002392767</v>
      </c>
      <c r="G481" s="11">
        <v>65.497627739721338</v>
      </c>
      <c r="H481" s="11">
        <v>3.7901472578858857</v>
      </c>
      <c r="I481" s="11">
        <v>32.677030777855258</v>
      </c>
      <c r="J481" s="11">
        <v>52.67728534747301</v>
      </c>
      <c r="K481" s="11">
        <v>109.52558299432762</v>
      </c>
      <c r="L481" s="11">
        <v>109.07182223777447</v>
      </c>
      <c r="M481" s="5"/>
    </row>
    <row r="482" spans="1:13" x14ac:dyDescent="0.25">
      <c r="A482" s="51">
        <v>9202</v>
      </c>
      <c r="B482" t="s">
        <v>79</v>
      </c>
      <c r="C482" t="s">
        <v>557</v>
      </c>
      <c r="D482" s="8">
        <v>2.39</v>
      </c>
      <c r="E482" s="8">
        <v>25.75</v>
      </c>
      <c r="F482" s="11">
        <v>30.831934055869333</v>
      </c>
      <c r="G482" s="11">
        <v>66.206686002137076</v>
      </c>
      <c r="H482" s="11">
        <v>2.9613799419935889</v>
      </c>
      <c r="I482" s="11">
        <v>33.146084567241644</v>
      </c>
      <c r="J482" s="11">
        <v>51.042147007285813</v>
      </c>
      <c r="K482" s="11">
        <v>109.21241688107727</v>
      </c>
      <c r="L482" s="11">
        <v>110.38412617654541</v>
      </c>
      <c r="M482" s="5"/>
    </row>
    <row r="483" spans="1:13" x14ac:dyDescent="0.25">
      <c r="A483" s="51">
        <v>9203</v>
      </c>
      <c r="B483" t="s">
        <v>79</v>
      </c>
      <c r="C483" t="s">
        <v>558</v>
      </c>
      <c r="D483" s="8">
        <v>3.16</v>
      </c>
      <c r="E483" s="8">
        <v>37</v>
      </c>
      <c r="F483" s="11">
        <v>25.669709742503844</v>
      </c>
      <c r="G483" s="11">
        <v>69.474020655626362</v>
      </c>
      <c r="H483" s="11">
        <v>4.8562696018697933</v>
      </c>
      <c r="I483" s="11">
        <v>37.837351924728821</v>
      </c>
      <c r="J483" s="11">
        <v>43.938696877336248</v>
      </c>
      <c r="K483" s="11">
        <v>106.7610230215317</v>
      </c>
      <c r="L483" s="11">
        <v>111.7050977148175</v>
      </c>
      <c r="M483" s="5"/>
    </row>
    <row r="484" spans="1:13" x14ac:dyDescent="0.25">
      <c r="A484" s="51">
        <v>9204</v>
      </c>
      <c r="B484" t="s">
        <v>79</v>
      </c>
      <c r="C484" t="s">
        <v>559</v>
      </c>
      <c r="D484" s="8">
        <v>3.4</v>
      </c>
      <c r="E484" s="8">
        <v>44.31</v>
      </c>
      <c r="F484" s="11">
        <v>26.086956521739129</v>
      </c>
      <c r="G484" s="11">
        <v>69.875244921749044</v>
      </c>
      <c r="H484" s="11">
        <v>4.0377985565118184</v>
      </c>
      <c r="I484" s="11">
        <v>37.250427837992014</v>
      </c>
      <c r="J484" s="11">
        <v>43.112199623753241</v>
      </c>
      <c r="K484" s="11">
        <v>101.12093210124549</v>
      </c>
      <c r="L484" s="11">
        <v>102.7293160655036</v>
      </c>
      <c r="M484" s="5"/>
    </row>
    <row r="485" spans="1:13" x14ac:dyDescent="0.25">
      <c r="A485" s="51">
        <v>9205</v>
      </c>
      <c r="B485" t="s">
        <v>79</v>
      </c>
      <c r="C485" t="s">
        <v>560</v>
      </c>
      <c r="D485" s="8">
        <v>3.89</v>
      </c>
      <c r="E485" s="8">
        <v>44.48</v>
      </c>
      <c r="F485" s="11">
        <v>21.466188190334158</v>
      </c>
      <c r="G485" s="11">
        <v>75.572074381320789</v>
      </c>
      <c r="H485" s="11">
        <v>2.9617374283450624</v>
      </c>
      <c r="I485" s="11">
        <v>38.136738593465999</v>
      </c>
      <c r="J485" s="11">
        <v>32.324010977151488</v>
      </c>
      <c r="K485" s="11">
        <v>106.35670635670635</v>
      </c>
      <c r="L485" s="11">
        <v>101.87802156935663</v>
      </c>
      <c r="M485" s="5"/>
    </row>
    <row r="486" spans="1:13" x14ac:dyDescent="0.25">
      <c r="A486" s="51">
        <v>9271</v>
      </c>
      <c r="B486" t="s">
        <v>79</v>
      </c>
      <c r="C486" t="s">
        <v>561</v>
      </c>
      <c r="D486" s="8">
        <v>2.11</v>
      </c>
      <c r="E486" s="8">
        <v>18.190000000000001</v>
      </c>
      <c r="F486" s="11">
        <v>23.583799165585805</v>
      </c>
      <c r="G486" s="11">
        <v>71.117964735055523</v>
      </c>
      <c r="H486" s="11">
        <v>5.2982360993586708</v>
      </c>
      <c r="I486" s="11">
        <v>35.094075789900124</v>
      </c>
      <c r="J486" s="11">
        <v>40.611447997059905</v>
      </c>
      <c r="K486" s="11">
        <v>109.02026127276577</v>
      </c>
      <c r="L486" s="11">
        <v>111.23871703604648</v>
      </c>
      <c r="M486" s="5"/>
    </row>
    <row r="487" spans="1:13" x14ac:dyDescent="0.25">
      <c r="A487" s="52">
        <v>9403</v>
      </c>
      <c r="B487" t="s">
        <v>80</v>
      </c>
      <c r="C487" t="s">
        <v>562</v>
      </c>
      <c r="D487" s="8">
        <v>2.72</v>
      </c>
      <c r="E487" s="8">
        <v>27.85</v>
      </c>
      <c r="F487" s="11">
        <v>35.327002126151662</v>
      </c>
      <c r="G487" s="11">
        <v>60.199007795889436</v>
      </c>
      <c r="H487" s="11">
        <v>4.4739900779588941</v>
      </c>
      <c r="I487" s="11">
        <v>29.079518072289158</v>
      </c>
      <c r="J487" s="11">
        <v>66.115694695599757</v>
      </c>
      <c r="K487" s="11">
        <v>107.1198741133919</v>
      </c>
      <c r="L487" s="11">
        <v>111.09190435033132</v>
      </c>
      <c r="M487" s="5"/>
    </row>
    <row r="488" spans="1:13" x14ac:dyDescent="0.25">
      <c r="A488" s="52">
        <v>9408</v>
      </c>
      <c r="B488" t="s">
        <v>80</v>
      </c>
      <c r="C488" t="s">
        <v>563</v>
      </c>
      <c r="D488" s="8">
        <v>3.13</v>
      </c>
      <c r="E488" s="8">
        <v>25.33</v>
      </c>
      <c r="F488" s="11">
        <v>33.445948723007241</v>
      </c>
      <c r="G488" s="11">
        <v>61.299762439068495</v>
      </c>
      <c r="H488" s="11">
        <v>5.2542888379242596</v>
      </c>
      <c r="I488" s="11">
        <v>28.829539756520596</v>
      </c>
      <c r="J488" s="11">
        <v>63.132769232832253</v>
      </c>
      <c r="K488" s="11">
        <v>106.41893611606005</v>
      </c>
      <c r="L488" s="11">
        <v>106.29374742662196</v>
      </c>
      <c r="M488" s="5"/>
    </row>
    <row r="489" spans="1:13" x14ac:dyDescent="0.25">
      <c r="A489" s="52">
        <v>9409</v>
      </c>
      <c r="B489" t="s">
        <v>80</v>
      </c>
      <c r="C489" t="s">
        <v>564</v>
      </c>
      <c r="D489" s="8">
        <v>3.01</v>
      </c>
      <c r="E489" s="8">
        <v>24.05</v>
      </c>
      <c r="F489" s="11">
        <v>32.165949021833939</v>
      </c>
      <c r="G489" s="11">
        <v>61.321251055699392</v>
      </c>
      <c r="H489" s="11">
        <v>6.5127999224666677</v>
      </c>
      <c r="I489" s="11">
        <v>28.345355614936242</v>
      </c>
      <c r="J489" s="11">
        <v>63.075603120307967</v>
      </c>
      <c r="K489" s="11">
        <v>104.65544599342627</v>
      </c>
      <c r="L489" s="11">
        <v>109.71062740076825</v>
      </c>
      <c r="M489" s="5"/>
    </row>
    <row r="490" spans="1:13" x14ac:dyDescent="0.25">
      <c r="A490" s="52">
        <v>9419</v>
      </c>
      <c r="B490" t="s">
        <v>80</v>
      </c>
      <c r="C490" t="s">
        <v>565</v>
      </c>
      <c r="D490" s="8">
        <v>2.39</v>
      </c>
      <c r="E490" s="8">
        <v>28.03</v>
      </c>
      <c r="F490" s="11">
        <v>34.057838799434386</v>
      </c>
      <c r="G490" s="11">
        <v>61.257583359941613</v>
      </c>
      <c r="H490" s="11">
        <v>4.6845778406240015</v>
      </c>
      <c r="I490" s="11">
        <v>28.643433836609955</v>
      </c>
      <c r="J490" s="11">
        <v>63.245094754086153</v>
      </c>
      <c r="K490" s="11">
        <v>113.0411544628541</v>
      </c>
      <c r="L490" s="11">
        <v>115.05136986301369</v>
      </c>
      <c r="M490" s="5"/>
    </row>
    <row r="491" spans="1:13" x14ac:dyDescent="0.25">
      <c r="A491" s="52">
        <v>9420</v>
      </c>
      <c r="B491" t="s">
        <v>80</v>
      </c>
      <c r="C491" t="s">
        <v>566</v>
      </c>
      <c r="D491" s="8">
        <v>2.4700000000000002</v>
      </c>
      <c r="E491" s="8">
        <v>27.2</v>
      </c>
      <c r="F491" s="11">
        <v>34.35905271199389</v>
      </c>
      <c r="G491" s="11">
        <v>60.71810542398778</v>
      </c>
      <c r="H491" s="11">
        <v>4.9228418640183342</v>
      </c>
      <c r="I491" s="11">
        <v>27.608861726508788</v>
      </c>
      <c r="J491" s="11">
        <v>64.695520885757418</v>
      </c>
      <c r="K491" s="11">
        <v>110.20008350194304</v>
      </c>
      <c r="L491" s="11">
        <v>109.41012863599491</v>
      </c>
      <c r="M491" s="5"/>
    </row>
    <row r="492" spans="1:13" x14ac:dyDescent="0.25">
      <c r="A492" s="52">
        <v>9426</v>
      </c>
      <c r="B492" t="s">
        <v>80</v>
      </c>
      <c r="C492" t="s">
        <v>567</v>
      </c>
      <c r="D492" s="8">
        <v>3.19</v>
      </c>
      <c r="E492" s="8">
        <v>29.4</v>
      </c>
      <c r="F492" s="11">
        <v>37.783758801620316</v>
      </c>
      <c r="G492" s="11">
        <v>58.032243155805673</v>
      </c>
      <c r="H492" s="11">
        <v>4.1839980425740153</v>
      </c>
      <c r="I492" s="11">
        <v>26.457874561618137</v>
      </c>
      <c r="J492" s="11">
        <v>72.317998688278834</v>
      </c>
      <c r="K492" s="11">
        <v>111.34796598483108</v>
      </c>
      <c r="L492" s="11">
        <v>113.84311140408701</v>
      </c>
      <c r="M492" s="5"/>
    </row>
    <row r="493" spans="1:13" x14ac:dyDescent="0.25">
      <c r="A493" s="52">
        <v>9427</v>
      </c>
      <c r="B493" t="s">
        <v>80</v>
      </c>
      <c r="C493" t="s">
        <v>568</v>
      </c>
      <c r="D493" s="8">
        <v>3.95</v>
      </c>
      <c r="E493" s="8">
        <v>29.48</v>
      </c>
      <c r="F493" s="11">
        <v>39.217990910515596</v>
      </c>
      <c r="G493" s="11">
        <v>55.771039022096843</v>
      </c>
      <c r="H493" s="11">
        <v>5.0109700673875563</v>
      </c>
      <c r="I493" s="11">
        <v>26.982447892179913</v>
      </c>
      <c r="J493" s="11">
        <v>79.304531085353005</v>
      </c>
      <c r="K493" s="11">
        <v>106.55498907501821</v>
      </c>
      <c r="L493" s="11">
        <v>105.15341078343758</v>
      </c>
      <c r="M493" s="5"/>
    </row>
    <row r="494" spans="1:13" x14ac:dyDescent="0.25">
      <c r="A494" s="52">
        <v>9428</v>
      </c>
      <c r="B494" t="s">
        <v>80</v>
      </c>
      <c r="C494" t="s">
        <v>569</v>
      </c>
      <c r="D494" s="8">
        <v>3.38</v>
      </c>
      <c r="E494" s="8">
        <v>34.06</v>
      </c>
      <c r="F494" s="11">
        <v>34.177122312715532</v>
      </c>
      <c r="G494" s="11">
        <v>62.281409739036853</v>
      </c>
      <c r="H494" s="11">
        <v>3.5414679482476092</v>
      </c>
      <c r="I494" s="11">
        <v>31.56504512436716</v>
      </c>
      <c r="J494" s="11">
        <v>60.561555075593951</v>
      </c>
      <c r="K494" s="11">
        <v>108.13989004276114</v>
      </c>
      <c r="L494" s="11">
        <v>108.22846079380446</v>
      </c>
      <c r="M494" s="5"/>
    </row>
    <row r="495" spans="1:13" x14ac:dyDescent="0.25">
      <c r="A495" s="52">
        <v>9471</v>
      </c>
      <c r="B495" t="s">
        <v>80</v>
      </c>
      <c r="C495" t="s">
        <v>570</v>
      </c>
      <c r="D495" s="8">
        <v>2.19</v>
      </c>
      <c r="E495" s="8">
        <v>21.44</v>
      </c>
      <c r="F495" s="11">
        <v>27.914026541083985</v>
      </c>
      <c r="G495" s="11">
        <v>67.29342127829203</v>
      </c>
      <c r="H495" s="11">
        <v>4.7925521806239884</v>
      </c>
      <c r="I495" s="11">
        <v>32.37956623914787</v>
      </c>
      <c r="J495" s="11">
        <v>48.602936364982661</v>
      </c>
      <c r="K495" s="11">
        <v>111.73185728235855</v>
      </c>
      <c r="L495" s="11">
        <v>117.56910379194892</v>
      </c>
      <c r="M495" s="5"/>
    </row>
    <row r="496" spans="1:13" x14ac:dyDescent="0.25">
      <c r="A496" s="53">
        <v>9501</v>
      </c>
      <c r="B496" t="s">
        <v>81</v>
      </c>
      <c r="C496" t="s">
        <v>571</v>
      </c>
      <c r="D496" s="8">
        <v>2.44</v>
      </c>
      <c r="E496" s="8">
        <v>23.99</v>
      </c>
      <c r="F496" s="11">
        <v>33.208416109806755</v>
      </c>
      <c r="G496" s="11">
        <v>60.749995895381481</v>
      </c>
      <c r="H496" s="11">
        <v>6.0415879948117626</v>
      </c>
      <c r="I496" s="11">
        <v>27.625724465168204</v>
      </c>
      <c r="J496" s="11">
        <v>64.609064619875127</v>
      </c>
      <c r="K496" s="11">
        <v>107.5461089577033</v>
      </c>
      <c r="L496" s="11">
        <v>111.74767972313984</v>
      </c>
      <c r="M496" s="5"/>
    </row>
    <row r="497" spans="1:13" x14ac:dyDescent="0.25">
      <c r="A497" s="53">
        <v>9502</v>
      </c>
      <c r="B497" t="s">
        <v>81</v>
      </c>
      <c r="C497" t="s">
        <v>572</v>
      </c>
      <c r="D497" s="8">
        <v>3.09</v>
      </c>
      <c r="E497" s="8">
        <v>34.869999999999997</v>
      </c>
      <c r="F497" s="11">
        <v>40.434071235788508</v>
      </c>
      <c r="G497" s="11">
        <v>56.876756771874867</v>
      </c>
      <c r="H497" s="11">
        <v>2.6891719923366293</v>
      </c>
      <c r="I497" s="11">
        <v>26.78823644576207</v>
      </c>
      <c r="J497" s="11">
        <v>75.818745082612111</v>
      </c>
      <c r="K497" s="11">
        <v>112.04186929189895</v>
      </c>
      <c r="L497" s="11">
        <v>114.92202400987321</v>
      </c>
      <c r="M497" s="5"/>
    </row>
    <row r="498" spans="1:13" x14ac:dyDescent="0.25">
      <c r="A498" s="53">
        <v>9503</v>
      </c>
      <c r="B498" t="s">
        <v>81</v>
      </c>
      <c r="C498" t="s">
        <v>573</v>
      </c>
      <c r="D498" s="8">
        <v>3.4</v>
      </c>
      <c r="E498" s="8">
        <v>42.55</v>
      </c>
      <c r="F498" s="11">
        <v>40.293721595690961</v>
      </c>
      <c r="G498" s="11">
        <v>56.269988217471813</v>
      </c>
      <c r="H498" s="11">
        <v>3.4362901868372329</v>
      </c>
      <c r="I498" s="11">
        <v>26.259888907591318</v>
      </c>
      <c r="J498" s="11">
        <v>77.714627580017947</v>
      </c>
      <c r="K498" s="11">
        <v>105.57449090814718</v>
      </c>
      <c r="L498" s="11">
        <v>108.13821626309119</v>
      </c>
      <c r="M498" s="5"/>
    </row>
    <row r="499" spans="1:13" x14ac:dyDescent="0.25">
      <c r="A499" s="53">
        <v>9504</v>
      </c>
      <c r="B499" t="s">
        <v>81</v>
      </c>
      <c r="C499" t="s">
        <v>574</v>
      </c>
      <c r="D499" s="8">
        <v>3.72</v>
      </c>
      <c r="E499" s="8">
        <v>38.75</v>
      </c>
      <c r="F499" s="11">
        <v>45.058663161481917</v>
      </c>
      <c r="G499" s="11">
        <v>52.597244535319611</v>
      </c>
      <c r="H499" s="11">
        <v>2.3440923031984808</v>
      </c>
      <c r="I499" s="11">
        <v>25.528617561624717</v>
      </c>
      <c r="J499" s="11">
        <v>90.124028137726768</v>
      </c>
      <c r="K499" s="11">
        <v>106.4940939934657</v>
      </c>
      <c r="L499" s="11">
        <v>109.01481432272637</v>
      </c>
      <c r="M499" s="5"/>
    </row>
    <row r="500" spans="1:13" x14ac:dyDescent="0.25">
      <c r="A500" s="54">
        <v>9601</v>
      </c>
      <c r="B500" t="s">
        <v>82</v>
      </c>
      <c r="C500" t="s">
        <v>575</v>
      </c>
      <c r="D500" s="8">
        <v>2.38</v>
      </c>
      <c r="E500" s="8">
        <v>22.69</v>
      </c>
      <c r="F500" s="11">
        <v>30.943755162162727</v>
      </c>
      <c r="G500" s="11">
        <v>65.989808362629077</v>
      </c>
      <c r="H500" s="11">
        <v>3.0664364752082012</v>
      </c>
      <c r="I500" s="11">
        <v>30.147328496927301</v>
      </c>
      <c r="J500" s="11">
        <v>51.538551908617706</v>
      </c>
      <c r="K500" s="11">
        <v>118.03376739892208</v>
      </c>
      <c r="L500" s="11">
        <v>122.85752071944984</v>
      </c>
      <c r="M500" s="5"/>
    </row>
    <row r="501" spans="1:13" x14ac:dyDescent="0.25">
      <c r="A501" s="54">
        <v>9602</v>
      </c>
      <c r="B501" t="s">
        <v>82</v>
      </c>
      <c r="C501" t="s">
        <v>576</v>
      </c>
      <c r="D501" s="8">
        <v>3.13</v>
      </c>
      <c r="E501" s="8">
        <v>37.15</v>
      </c>
      <c r="F501" s="11">
        <v>28.090165773208636</v>
      </c>
      <c r="G501" s="11">
        <v>68.158857611411506</v>
      </c>
      <c r="H501" s="11">
        <v>3.7509766153798552</v>
      </c>
      <c r="I501" s="11">
        <v>33.215752709382471</v>
      </c>
      <c r="J501" s="11">
        <v>46.716074042968529</v>
      </c>
      <c r="K501" s="11">
        <v>107.39094861469847</v>
      </c>
      <c r="L501" s="11">
        <v>104.61758398856327</v>
      </c>
      <c r="M501" s="5"/>
    </row>
    <row r="502" spans="1:13" x14ac:dyDescent="0.25">
      <c r="A502" s="54">
        <v>9603</v>
      </c>
      <c r="B502" t="s">
        <v>82</v>
      </c>
      <c r="C502" t="s">
        <v>577</v>
      </c>
      <c r="D502" s="8">
        <v>3.27</v>
      </c>
      <c r="E502" s="8">
        <v>40.159999999999997</v>
      </c>
      <c r="F502" s="11">
        <v>28.455262417526566</v>
      </c>
      <c r="G502" s="11">
        <v>68.101500176971868</v>
      </c>
      <c r="H502" s="11">
        <v>3.4432374055015562</v>
      </c>
      <c r="I502" s="11">
        <v>33.549329775744866</v>
      </c>
      <c r="J502" s="11">
        <v>46.839643385439572</v>
      </c>
      <c r="K502" s="11">
        <v>110.85999693815066</v>
      </c>
      <c r="L502" s="11">
        <v>117.94010140313642</v>
      </c>
      <c r="M502" s="5"/>
    </row>
    <row r="503" spans="1:13" x14ac:dyDescent="0.25">
      <c r="A503" s="54">
        <v>9604</v>
      </c>
      <c r="B503" t="s">
        <v>82</v>
      </c>
      <c r="C503" t="s">
        <v>578</v>
      </c>
      <c r="D503" s="8">
        <v>2.5099999999999998</v>
      </c>
      <c r="E503" s="8">
        <v>28.66</v>
      </c>
      <c r="F503" s="11">
        <v>32.731012605018464</v>
      </c>
      <c r="G503" s="11">
        <v>62.892820912336553</v>
      </c>
      <c r="H503" s="11">
        <v>4.3761664826449804</v>
      </c>
      <c r="I503" s="11">
        <v>28.505052656357716</v>
      </c>
      <c r="J503" s="11">
        <v>59.00065945425704</v>
      </c>
      <c r="K503" s="11">
        <v>108.79675139259469</v>
      </c>
      <c r="L503" s="11">
        <v>109.01245222537295</v>
      </c>
      <c r="M503" s="5"/>
    </row>
    <row r="504" spans="1:13" x14ac:dyDescent="0.25">
      <c r="A504" s="54">
        <v>9605</v>
      </c>
      <c r="B504" t="s">
        <v>82</v>
      </c>
      <c r="C504" t="s">
        <v>579</v>
      </c>
      <c r="D504" s="8">
        <v>2.59</v>
      </c>
      <c r="E504" s="8">
        <v>30.78</v>
      </c>
      <c r="F504" s="11">
        <v>24.10745759655034</v>
      </c>
      <c r="G504" s="11">
        <v>72.729806612396814</v>
      </c>
      <c r="H504" s="11">
        <v>3.1627357910528517</v>
      </c>
      <c r="I504" s="11">
        <v>38.563980226752911</v>
      </c>
      <c r="J504" s="11">
        <v>37.495209540341307</v>
      </c>
      <c r="K504" s="11">
        <v>117.59947198016359</v>
      </c>
      <c r="L504" s="11">
        <v>121.52292152292152</v>
      </c>
      <c r="M504" s="5"/>
    </row>
    <row r="505" spans="1:13" x14ac:dyDescent="0.25">
      <c r="A505" s="54">
        <v>9606</v>
      </c>
      <c r="B505" t="s">
        <v>82</v>
      </c>
      <c r="C505" t="s">
        <v>580</v>
      </c>
      <c r="D505" s="8">
        <v>2.76</v>
      </c>
      <c r="E505" s="8">
        <v>40.729999999999997</v>
      </c>
      <c r="F505" s="11">
        <v>21.667963069430822</v>
      </c>
      <c r="G505" s="11">
        <v>73.357908620514735</v>
      </c>
      <c r="H505" s="11">
        <v>4.9741283100544482</v>
      </c>
      <c r="I505" s="11">
        <v>33.971388954648454</v>
      </c>
      <c r="J505" s="11">
        <v>36.317953824592465</v>
      </c>
      <c r="K505" s="11">
        <v>108.6496937537046</v>
      </c>
      <c r="L505" s="11">
        <v>110.58700209643607</v>
      </c>
      <c r="M505" s="5"/>
    </row>
    <row r="506" spans="1:13" x14ac:dyDescent="0.25">
      <c r="A506" s="54">
        <v>9607</v>
      </c>
      <c r="B506" t="s">
        <v>82</v>
      </c>
      <c r="C506" t="s">
        <v>581</v>
      </c>
      <c r="D506" s="8">
        <v>2.75</v>
      </c>
      <c r="E506" s="8">
        <v>39.619999999999997</v>
      </c>
      <c r="F506" s="11">
        <v>21.668304902022957</v>
      </c>
      <c r="G506" s="11">
        <v>75.0515251442704</v>
      </c>
      <c r="H506" s="11">
        <v>3.2801699537066393</v>
      </c>
      <c r="I506" s="11">
        <v>33.842507451328558</v>
      </c>
      <c r="J506" s="11">
        <v>33.241795963201973</v>
      </c>
      <c r="K506" s="11">
        <v>110.0293020777837</v>
      </c>
      <c r="L506" s="11">
        <v>107.64067895530374</v>
      </c>
      <c r="M506" s="5"/>
    </row>
    <row r="507" spans="1:13" x14ac:dyDescent="0.25">
      <c r="A507" s="54">
        <v>9608</v>
      </c>
      <c r="B507" t="s">
        <v>82</v>
      </c>
      <c r="C507" t="s">
        <v>582</v>
      </c>
      <c r="D507" s="8">
        <v>2.42</v>
      </c>
      <c r="E507" s="8">
        <v>35.51</v>
      </c>
      <c r="F507" s="11">
        <v>17.135094075026295</v>
      </c>
      <c r="G507" s="11">
        <v>77.543865506936683</v>
      </c>
      <c r="H507" s="11">
        <v>5.321040418037029</v>
      </c>
      <c r="I507" s="11">
        <v>32.822334262675504</v>
      </c>
      <c r="J507" s="11">
        <v>28.959266276265932</v>
      </c>
      <c r="K507" s="11">
        <v>113.76276932685016</v>
      </c>
      <c r="L507" s="11">
        <v>114.78396241874694</v>
      </c>
      <c r="M507" s="5"/>
    </row>
    <row r="508" spans="1:13" x14ac:dyDescent="0.25">
      <c r="A508" s="55">
        <v>9701</v>
      </c>
      <c r="B508" t="s">
        <v>83</v>
      </c>
      <c r="C508" t="s">
        <v>583</v>
      </c>
      <c r="D508" s="8">
        <v>2.48</v>
      </c>
      <c r="E508" s="8">
        <v>49.63</v>
      </c>
      <c r="F508" s="11">
        <v>21.110881968790814</v>
      </c>
      <c r="G508" s="11">
        <v>76.975493228844442</v>
      </c>
      <c r="H508" s="11">
        <v>1.9136248023647489</v>
      </c>
      <c r="I508" s="11">
        <v>34.054272358561903</v>
      </c>
      <c r="J508" s="11">
        <v>29.911476764045947</v>
      </c>
      <c r="K508" s="11">
        <v>116.67070060136658</v>
      </c>
      <c r="L508" s="11">
        <v>110.29981427434332</v>
      </c>
      <c r="M508" s="5"/>
    </row>
    <row r="509" spans="1:13" x14ac:dyDescent="0.25">
      <c r="A509" s="55">
        <v>9702</v>
      </c>
      <c r="B509" t="s">
        <v>83</v>
      </c>
      <c r="C509" t="s">
        <v>584</v>
      </c>
      <c r="D509" s="8">
        <v>2.39</v>
      </c>
      <c r="E509" s="8">
        <v>28.36</v>
      </c>
      <c r="F509" s="11">
        <v>24.882327695995478</v>
      </c>
      <c r="G509" s="11">
        <v>69.155027372549299</v>
      </c>
      <c r="H509" s="11">
        <v>5.9626449314552286</v>
      </c>
      <c r="I509" s="11">
        <v>33.877062536418229</v>
      </c>
      <c r="J509" s="11">
        <v>44.602646834746892</v>
      </c>
      <c r="K509" s="11">
        <v>106.99639599297977</v>
      </c>
      <c r="L509" s="11">
        <v>118.01769434589302</v>
      </c>
      <c r="M509" s="5"/>
    </row>
    <row r="510" spans="1:13" x14ac:dyDescent="0.25">
      <c r="A510" s="55">
        <v>9703</v>
      </c>
      <c r="B510" t="s">
        <v>83</v>
      </c>
      <c r="C510" t="s">
        <v>585</v>
      </c>
      <c r="D510" s="8">
        <v>2.69</v>
      </c>
      <c r="E510" s="8">
        <v>36.869999999999997</v>
      </c>
      <c r="F510" s="11">
        <v>21.384209173540199</v>
      </c>
      <c r="G510" s="11">
        <v>74.651961586092483</v>
      </c>
      <c r="H510" s="11">
        <v>3.9638292403673154</v>
      </c>
      <c r="I510" s="11">
        <v>34.373437390471295</v>
      </c>
      <c r="J510" s="11">
        <v>33.954952924679489</v>
      </c>
      <c r="K510" s="11">
        <v>115.14679268047456</v>
      </c>
      <c r="L510" s="11">
        <v>115.27789972780754</v>
      </c>
      <c r="M510" s="5"/>
    </row>
    <row r="511" spans="1:13" x14ac:dyDescent="0.25">
      <c r="A511" s="55">
        <v>9704</v>
      </c>
      <c r="B511" t="s">
        <v>83</v>
      </c>
      <c r="C511" t="s">
        <v>586</v>
      </c>
      <c r="D511" s="8">
        <v>2.74</v>
      </c>
      <c r="E511" s="8">
        <v>38.4</v>
      </c>
      <c r="F511" s="11">
        <v>18.669962165750807</v>
      </c>
      <c r="G511" s="11">
        <v>71.645909821707093</v>
      </c>
      <c r="H511" s="11">
        <v>9.6841280125420948</v>
      </c>
      <c r="I511" s="11">
        <v>32.518257224901816</v>
      </c>
      <c r="J511" s="11">
        <v>39.575308972770209</v>
      </c>
      <c r="K511" s="11">
        <v>115.62063434573395</v>
      </c>
      <c r="L511" s="11">
        <v>128.10492355169026</v>
      </c>
      <c r="M511" s="5"/>
    </row>
    <row r="512" spans="1:13" x14ac:dyDescent="0.25">
      <c r="A512" s="55">
        <v>9705</v>
      </c>
      <c r="B512" t="s">
        <v>83</v>
      </c>
      <c r="C512" t="s">
        <v>587</v>
      </c>
      <c r="D512" s="8">
        <v>2.4300000000000002</v>
      </c>
      <c r="E512" s="8">
        <v>32.159999999999997</v>
      </c>
      <c r="F512" s="11">
        <v>29.000980498965028</v>
      </c>
      <c r="G512" s="11">
        <v>69.21777971456585</v>
      </c>
      <c r="H512" s="11">
        <v>1.7812397864691143</v>
      </c>
      <c r="I512" s="11">
        <v>33.238914914478698</v>
      </c>
      <c r="J512" s="11">
        <v>44.471551113559457</v>
      </c>
      <c r="K512" s="11">
        <v>110.1419413919414</v>
      </c>
      <c r="L512" s="11">
        <v>101.2975588299978</v>
      </c>
      <c r="M512" s="5"/>
    </row>
    <row r="513" spans="1:13" x14ac:dyDescent="0.25">
      <c r="A513" s="55">
        <v>9706</v>
      </c>
      <c r="B513" t="s">
        <v>83</v>
      </c>
      <c r="C513" t="s">
        <v>588</v>
      </c>
      <c r="D513" s="8">
        <v>2.77</v>
      </c>
      <c r="E513" s="8">
        <v>32.36</v>
      </c>
      <c r="F513" s="11">
        <v>25.567697156351294</v>
      </c>
      <c r="G513" s="11">
        <v>71.012202458449693</v>
      </c>
      <c r="H513" s="11">
        <v>3.4201003851990195</v>
      </c>
      <c r="I513" s="11">
        <v>33.242944752224545</v>
      </c>
      <c r="J513" s="11">
        <v>40.820868157851478</v>
      </c>
      <c r="K513" s="11">
        <v>111.22596062663581</v>
      </c>
      <c r="L513" s="11">
        <v>111.88691123447605</v>
      </c>
      <c r="M513" s="5"/>
    </row>
    <row r="514" spans="1:13" x14ac:dyDescent="0.25">
      <c r="A514" s="55">
        <v>9707</v>
      </c>
      <c r="B514" t="s">
        <v>83</v>
      </c>
      <c r="C514" t="s">
        <v>589</v>
      </c>
      <c r="D514" s="8">
        <v>2.5499999999999998</v>
      </c>
      <c r="E514" s="8">
        <v>41.93</v>
      </c>
      <c r="F514" s="11">
        <v>18.331681265022269</v>
      </c>
      <c r="G514" s="11">
        <v>76.908269669856594</v>
      </c>
      <c r="H514" s="11">
        <v>4.7600490651211329</v>
      </c>
      <c r="I514" s="11">
        <v>40.032012637668728</v>
      </c>
      <c r="J514" s="11">
        <v>30.02502907589659</v>
      </c>
      <c r="K514" s="11">
        <v>116.16293532338308</v>
      </c>
      <c r="L514" s="11">
        <v>124.19111508209689</v>
      </c>
      <c r="M514" s="5"/>
    </row>
    <row r="515" spans="1:13" x14ac:dyDescent="0.25">
      <c r="A515" s="55">
        <v>9708</v>
      </c>
      <c r="B515" t="s">
        <v>83</v>
      </c>
      <c r="C515" t="s">
        <v>590</v>
      </c>
      <c r="D515" s="8">
        <v>3.07</v>
      </c>
      <c r="E515" s="8">
        <v>43.56</v>
      </c>
      <c r="F515" s="11">
        <v>30.242825607064017</v>
      </c>
      <c r="G515" s="11">
        <v>67.822702451492972</v>
      </c>
      <c r="H515" s="11">
        <v>1.9344719414430116</v>
      </c>
      <c r="I515" s="11">
        <v>32.272568839316833</v>
      </c>
      <c r="J515" s="11">
        <v>47.443254817987153</v>
      </c>
      <c r="K515" s="11">
        <v>115.29879680816471</v>
      </c>
      <c r="L515" s="11">
        <v>116.46664588528679</v>
      </c>
      <c r="M515" s="5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Y515"/>
  <sheetViews>
    <sheetView zoomScale="64" zoomScaleNormal="100" workbookViewId="0">
      <pane xSplit="3" ySplit="1" topLeftCell="D512" activePane="bottomRight" state="frozen"/>
      <selection pane="topRight" activeCell="E1" sqref="E1"/>
      <selection pane="bottomLeft" activeCell="A2" sqref="A2"/>
      <selection pane="bottomRight" activeCell="A2" sqref="A2:C515"/>
    </sheetView>
  </sheetViews>
  <sheetFormatPr defaultColWidth="8.7109375" defaultRowHeight="15" x14ac:dyDescent="0.25"/>
  <cols>
    <col min="1" max="1" width="14" customWidth="1"/>
    <col min="2" max="2" width="24" customWidth="1"/>
    <col min="3" max="3" width="28" customWidth="1"/>
    <col min="4" max="20" width="9" customWidth="1"/>
    <col min="21" max="21" width="11" customWidth="1"/>
    <col min="22" max="22" width="14" customWidth="1"/>
    <col min="23" max="23" width="13" customWidth="1"/>
    <col min="24" max="24" width="12" customWidth="1"/>
    <col min="25" max="25" width="13" customWidth="1"/>
  </cols>
  <sheetData>
    <row r="1" spans="1:25" ht="31.5" customHeight="1" x14ac:dyDescent="0.25">
      <c r="A1" s="4" t="s">
        <v>0</v>
      </c>
      <c r="B1" s="4" t="s">
        <v>1</v>
      </c>
      <c r="C1" s="4" t="s">
        <v>3</v>
      </c>
      <c r="D1" s="4" t="s">
        <v>24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6" t="s">
        <v>25</v>
      </c>
      <c r="V1" s="6" t="s">
        <v>26</v>
      </c>
      <c r="W1" s="6" t="s">
        <v>27</v>
      </c>
      <c r="X1" s="6" t="s">
        <v>591</v>
      </c>
      <c r="Y1" s="6" t="s">
        <v>33</v>
      </c>
    </row>
    <row r="2" spans="1:25" x14ac:dyDescent="0.25">
      <c r="A2" s="57">
        <v>1101</v>
      </c>
      <c r="B2" t="s">
        <v>2</v>
      </c>
      <c r="C2" t="s">
        <v>4</v>
      </c>
      <c r="D2" s="8">
        <v>101604</v>
      </c>
      <c r="E2" s="8">
        <v>10109</v>
      </c>
      <c r="F2" s="8">
        <v>8457</v>
      </c>
      <c r="G2" s="8">
        <v>8194</v>
      </c>
      <c r="H2" s="8">
        <v>8547</v>
      </c>
      <c r="I2" s="8">
        <v>9547</v>
      </c>
      <c r="J2" s="8">
        <v>8919</v>
      </c>
      <c r="K2" s="8">
        <v>7909</v>
      </c>
      <c r="L2" s="8">
        <v>7312</v>
      </c>
      <c r="M2" s="8">
        <v>7099</v>
      </c>
      <c r="N2" s="8">
        <v>6558</v>
      </c>
      <c r="O2" s="8">
        <v>5312</v>
      </c>
      <c r="P2" s="8">
        <v>4410</v>
      </c>
      <c r="Q2" s="8">
        <v>3535</v>
      </c>
      <c r="R2" s="8">
        <v>2572</v>
      </c>
      <c r="S2" s="8">
        <v>1609</v>
      </c>
      <c r="T2" s="8">
        <v>1515</v>
      </c>
      <c r="U2" s="7">
        <f>SUM(E2:G2)/D2*100</f>
        <v>26.337545765914726</v>
      </c>
      <c r="V2" s="7">
        <f>SUM(H2:Q2)/D2*100</f>
        <v>68.056375733238852</v>
      </c>
      <c r="W2" s="7">
        <f>SUM(R2:T2)/D2*100</f>
        <v>5.6060785008464231</v>
      </c>
      <c r="X2" s="7">
        <f>SUM(I2:L2)/D2*100</f>
        <v>33.155190740522031</v>
      </c>
      <c r="Y2" s="7">
        <f>SUM(E2:G2,R2:T2)/SUM(H2:Q2)*100</f>
        <v>46.937004685601899</v>
      </c>
    </row>
    <row r="3" spans="1:25" x14ac:dyDescent="0.25">
      <c r="A3" s="57">
        <v>1102</v>
      </c>
      <c r="B3" t="s">
        <v>2</v>
      </c>
      <c r="C3" t="s">
        <v>84</v>
      </c>
      <c r="D3" s="8">
        <v>140432</v>
      </c>
      <c r="E3" s="8">
        <v>15709</v>
      </c>
      <c r="F3" s="8">
        <v>13519</v>
      </c>
      <c r="G3" s="8">
        <v>13442</v>
      </c>
      <c r="H3" s="8">
        <v>13055</v>
      </c>
      <c r="I3" s="8">
        <v>13183</v>
      </c>
      <c r="J3" s="8">
        <v>12402</v>
      </c>
      <c r="K3" s="8">
        <v>10912</v>
      </c>
      <c r="L3" s="8">
        <v>9616</v>
      </c>
      <c r="M3" s="8">
        <v>9142</v>
      </c>
      <c r="N3" s="8">
        <v>8139</v>
      </c>
      <c r="O3" s="8">
        <v>6676</v>
      </c>
      <c r="P3" s="8">
        <v>5031</v>
      </c>
      <c r="Q3" s="8">
        <v>3896</v>
      </c>
      <c r="R3" s="8">
        <v>2587</v>
      </c>
      <c r="S3" s="8">
        <v>1751</v>
      </c>
      <c r="T3" s="8">
        <v>1372</v>
      </c>
      <c r="U3" s="7">
        <f t="shared" ref="U3:U66" si="0">SUM(E3:G3)/D3*100</f>
        <v>30.384812578329722</v>
      </c>
      <c r="V3" s="7">
        <f t="shared" ref="V3:V66" si="1">SUM(H3:Q3)/D3*100</f>
        <v>65.549162584026433</v>
      </c>
      <c r="W3" s="7">
        <f t="shared" ref="W3:W66" si="2">SUM(R3:T3)/D3*100</f>
        <v>4.0660248376438419</v>
      </c>
      <c r="X3" s="7">
        <f>SUM(I3:L3)/D3*100</f>
        <v>32.836532983935285</v>
      </c>
      <c r="Y3" s="7">
        <f t="shared" ref="Y3:Y66" si="3">SUM(E3:G3,R3:T3)/SUM(H3:Q3)*100</f>
        <v>52.557250249858775</v>
      </c>
    </row>
    <row r="4" spans="1:25" x14ac:dyDescent="0.25">
      <c r="A4" s="57">
        <v>1103</v>
      </c>
      <c r="B4" t="s">
        <v>2</v>
      </c>
      <c r="C4" t="s">
        <v>85</v>
      </c>
      <c r="D4" s="8">
        <v>246901</v>
      </c>
      <c r="E4" s="8">
        <v>21785</v>
      </c>
      <c r="F4" s="8">
        <v>18850</v>
      </c>
      <c r="G4" s="8">
        <v>18429</v>
      </c>
      <c r="H4" s="8">
        <v>17782</v>
      </c>
      <c r="I4" s="8">
        <v>19934</v>
      </c>
      <c r="J4" s="8">
        <v>22249</v>
      </c>
      <c r="K4" s="8">
        <v>20392</v>
      </c>
      <c r="L4" s="8">
        <v>18074</v>
      </c>
      <c r="M4" s="8">
        <v>16699</v>
      </c>
      <c r="N4" s="8">
        <v>16045</v>
      </c>
      <c r="O4" s="8">
        <v>15237</v>
      </c>
      <c r="P4" s="8">
        <v>13034</v>
      </c>
      <c r="Q4" s="8">
        <v>10432</v>
      </c>
      <c r="R4" s="8">
        <v>7668</v>
      </c>
      <c r="S4" s="8">
        <v>5003</v>
      </c>
      <c r="T4" s="8">
        <v>5288</v>
      </c>
      <c r="U4" s="7">
        <f t="shared" si="0"/>
        <v>23.922138832973541</v>
      </c>
      <c r="V4" s="7">
        <f t="shared" si="1"/>
        <v>68.804095568669226</v>
      </c>
      <c r="W4" s="7">
        <f t="shared" si="2"/>
        <v>7.2737655983572358</v>
      </c>
      <c r="X4" s="7">
        <f>SUM(I4:L4)/D4*100</f>
        <v>32.664509256746634</v>
      </c>
      <c r="Y4" s="7">
        <f t="shared" si="3"/>
        <v>45.340185309457375</v>
      </c>
    </row>
    <row r="5" spans="1:25" x14ac:dyDescent="0.25">
      <c r="A5" s="57">
        <v>1104</v>
      </c>
      <c r="B5" t="s">
        <v>2</v>
      </c>
      <c r="C5" t="s">
        <v>86</v>
      </c>
      <c r="D5" s="8">
        <v>241328</v>
      </c>
      <c r="E5" s="8">
        <v>24382</v>
      </c>
      <c r="F5" s="8">
        <v>19848</v>
      </c>
      <c r="G5" s="8">
        <v>21400</v>
      </c>
      <c r="H5" s="8">
        <v>21645</v>
      </c>
      <c r="I5" s="8">
        <v>21750</v>
      </c>
      <c r="J5" s="8">
        <v>21214</v>
      </c>
      <c r="K5" s="8">
        <v>19629</v>
      </c>
      <c r="L5" s="8">
        <v>17323</v>
      </c>
      <c r="M5" s="8">
        <v>15583</v>
      </c>
      <c r="N5" s="8">
        <v>14662</v>
      </c>
      <c r="O5" s="8">
        <v>12342</v>
      </c>
      <c r="P5" s="8">
        <v>10256</v>
      </c>
      <c r="Q5" s="8">
        <v>7857</v>
      </c>
      <c r="R5" s="8">
        <v>6090</v>
      </c>
      <c r="S5" s="8">
        <v>3986</v>
      </c>
      <c r="T5" s="8">
        <v>3361</v>
      </c>
      <c r="U5" s="7">
        <f t="shared" si="0"/>
        <v>27.195352383478088</v>
      </c>
      <c r="V5" s="7">
        <f t="shared" si="1"/>
        <v>67.236706888550017</v>
      </c>
      <c r="W5" s="7">
        <f t="shared" si="2"/>
        <v>5.5679407279718891</v>
      </c>
      <c r="X5" s="7">
        <f>SUM(I5:L5)/D5*100</f>
        <v>33.115096466220251</v>
      </c>
      <c r="Y5" s="7">
        <f t="shared" si="3"/>
        <v>48.728283444573869</v>
      </c>
    </row>
    <row r="6" spans="1:25" x14ac:dyDescent="0.25">
      <c r="A6" s="57">
        <v>1105</v>
      </c>
      <c r="B6" t="s">
        <v>2</v>
      </c>
      <c r="C6" t="s">
        <v>87</v>
      </c>
      <c r="D6" s="8">
        <v>454431</v>
      </c>
      <c r="E6" s="8">
        <v>40260</v>
      </c>
      <c r="F6" s="8">
        <v>43275</v>
      </c>
      <c r="G6" s="8">
        <v>42751</v>
      </c>
      <c r="H6" s="8">
        <v>42296</v>
      </c>
      <c r="I6" s="8">
        <v>41603</v>
      </c>
      <c r="J6" s="8">
        <v>37469</v>
      </c>
      <c r="K6" s="8">
        <v>34802</v>
      </c>
      <c r="L6" s="8">
        <v>34056</v>
      </c>
      <c r="M6" s="8">
        <v>30728</v>
      </c>
      <c r="N6" s="8">
        <v>26712</v>
      </c>
      <c r="O6" s="8">
        <v>23195</v>
      </c>
      <c r="P6" s="8">
        <v>18430</v>
      </c>
      <c r="Q6" s="8">
        <v>14819</v>
      </c>
      <c r="R6" s="8">
        <v>10611</v>
      </c>
      <c r="S6" s="8">
        <v>7123</v>
      </c>
      <c r="T6" s="8">
        <v>6301</v>
      </c>
      <c r="U6" s="7">
        <f t="shared" si="0"/>
        <v>27.789917501226807</v>
      </c>
      <c r="V6" s="7">
        <f t="shared" si="1"/>
        <v>66.921050720571444</v>
      </c>
      <c r="W6" s="7">
        <f t="shared" si="2"/>
        <v>5.2890317782017515</v>
      </c>
      <c r="X6" s="7">
        <f>SUM(I6:L6)/D6*100</f>
        <v>32.552796794232783</v>
      </c>
      <c r="Y6" s="7">
        <f t="shared" si="3"/>
        <v>49.429811581335706</v>
      </c>
    </row>
    <row r="7" spans="1:25" x14ac:dyDescent="0.25">
      <c r="A7" s="57">
        <v>1106</v>
      </c>
      <c r="B7" t="s">
        <v>2</v>
      </c>
      <c r="C7" t="s">
        <v>88</v>
      </c>
      <c r="D7" s="8">
        <v>232425</v>
      </c>
      <c r="E7" s="8">
        <v>20904</v>
      </c>
      <c r="F7" s="8">
        <v>20848</v>
      </c>
      <c r="G7" s="8">
        <v>20647</v>
      </c>
      <c r="H7" s="8">
        <v>19414</v>
      </c>
      <c r="I7" s="8">
        <v>19279</v>
      </c>
      <c r="J7" s="8">
        <v>19267</v>
      </c>
      <c r="K7" s="8">
        <v>17587</v>
      </c>
      <c r="L7" s="8">
        <v>16387</v>
      </c>
      <c r="M7" s="8">
        <v>15507</v>
      </c>
      <c r="N7" s="8">
        <v>15522</v>
      </c>
      <c r="O7" s="8">
        <v>13963</v>
      </c>
      <c r="P7" s="8">
        <v>10933</v>
      </c>
      <c r="Q7" s="8">
        <v>8289</v>
      </c>
      <c r="R7" s="8">
        <v>5868</v>
      </c>
      <c r="S7" s="8">
        <v>3833</v>
      </c>
      <c r="T7" s="8">
        <v>4177</v>
      </c>
      <c r="U7" s="7">
        <f t="shared" si="0"/>
        <v>26.846939873077336</v>
      </c>
      <c r="V7" s="7">
        <f t="shared" si="1"/>
        <v>67.182101753253747</v>
      </c>
      <c r="W7" s="7">
        <f t="shared" si="2"/>
        <v>5.9709583736689256</v>
      </c>
      <c r="X7" s="7">
        <f>SUM(I7:L7)/D7*100</f>
        <v>31.201462837474452</v>
      </c>
      <c r="Y7" s="7">
        <f t="shared" si="3"/>
        <v>48.849168737351746</v>
      </c>
    </row>
    <row r="8" spans="1:25" x14ac:dyDescent="0.25">
      <c r="A8" s="57">
        <v>1107</v>
      </c>
      <c r="B8" t="s">
        <v>2</v>
      </c>
      <c r="C8" t="s">
        <v>89</v>
      </c>
      <c r="D8" s="8">
        <v>210738</v>
      </c>
      <c r="E8" s="8">
        <v>17438</v>
      </c>
      <c r="F8" s="8">
        <v>16824</v>
      </c>
      <c r="G8" s="8">
        <v>16576</v>
      </c>
      <c r="H8" s="8">
        <v>17444</v>
      </c>
      <c r="I8" s="8">
        <v>15865</v>
      </c>
      <c r="J8" s="8">
        <v>15927</v>
      </c>
      <c r="K8" s="8">
        <v>16414</v>
      </c>
      <c r="L8" s="8">
        <v>16061</v>
      </c>
      <c r="M8" s="8">
        <v>15520</v>
      </c>
      <c r="N8" s="8">
        <v>14710</v>
      </c>
      <c r="O8" s="8">
        <v>13389</v>
      </c>
      <c r="P8" s="8">
        <v>11383</v>
      </c>
      <c r="Q8" s="8">
        <v>8851</v>
      </c>
      <c r="R8" s="8">
        <v>6229</v>
      </c>
      <c r="S8" s="8">
        <v>4029</v>
      </c>
      <c r="T8" s="8">
        <v>4078</v>
      </c>
      <c r="U8" s="7">
        <f t="shared" si="0"/>
        <v>24.123793525609997</v>
      </c>
      <c r="V8" s="7">
        <f t="shared" si="1"/>
        <v>69.073446649394029</v>
      </c>
      <c r="W8" s="7">
        <f t="shared" si="2"/>
        <v>6.8027598249959658</v>
      </c>
      <c r="X8" s="7">
        <f>SUM(I8:L8)/D8*100</f>
        <v>30.496161110003889</v>
      </c>
      <c r="Y8" s="7">
        <f t="shared" si="3"/>
        <v>44.773432991673765</v>
      </c>
    </row>
    <row r="9" spans="1:25" x14ac:dyDescent="0.25">
      <c r="A9" s="57">
        <v>1108</v>
      </c>
      <c r="B9" t="s">
        <v>2</v>
      </c>
      <c r="C9" t="s">
        <v>90</v>
      </c>
      <c r="D9" s="8">
        <v>439753</v>
      </c>
      <c r="E9" s="8">
        <v>35619</v>
      </c>
      <c r="F9" s="8">
        <v>38646</v>
      </c>
      <c r="G9" s="8">
        <v>38184</v>
      </c>
      <c r="H9" s="8">
        <v>40081</v>
      </c>
      <c r="I9" s="8">
        <v>34691</v>
      </c>
      <c r="J9" s="8">
        <v>31525</v>
      </c>
      <c r="K9" s="8">
        <v>33801</v>
      </c>
      <c r="L9" s="8">
        <v>34300</v>
      </c>
      <c r="M9" s="8">
        <v>32918</v>
      </c>
      <c r="N9" s="8">
        <v>29160</v>
      </c>
      <c r="O9" s="8">
        <v>25643</v>
      </c>
      <c r="P9" s="8">
        <v>20690</v>
      </c>
      <c r="Q9" s="8">
        <v>16494</v>
      </c>
      <c r="R9" s="8">
        <v>11376</v>
      </c>
      <c r="S9" s="8">
        <v>7912</v>
      </c>
      <c r="T9" s="8">
        <v>8713</v>
      </c>
      <c r="U9" s="7">
        <f t="shared" si="0"/>
        <v>25.57094550804656</v>
      </c>
      <c r="V9" s="7">
        <f t="shared" si="1"/>
        <v>68.061616407392336</v>
      </c>
      <c r="W9" s="7">
        <f t="shared" si="2"/>
        <v>6.3674380845611056</v>
      </c>
      <c r="X9" s="7">
        <f>SUM(I9:L9)/D9*100</f>
        <v>30.543737052390775</v>
      </c>
      <c r="Y9" s="7">
        <f t="shared" si="3"/>
        <v>46.925690688031864</v>
      </c>
    </row>
    <row r="10" spans="1:25" x14ac:dyDescent="0.25">
      <c r="A10" s="57">
        <v>1109</v>
      </c>
      <c r="B10" t="s">
        <v>2</v>
      </c>
      <c r="C10" t="s">
        <v>91</v>
      </c>
      <c r="D10" s="8">
        <v>461254</v>
      </c>
      <c r="E10" s="8">
        <v>39681</v>
      </c>
      <c r="F10" s="8">
        <v>37141</v>
      </c>
      <c r="G10" s="8">
        <v>35457</v>
      </c>
      <c r="H10" s="8">
        <v>37671</v>
      </c>
      <c r="I10" s="8">
        <v>38317</v>
      </c>
      <c r="J10" s="8">
        <v>37451</v>
      </c>
      <c r="K10" s="8">
        <v>37396</v>
      </c>
      <c r="L10" s="8">
        <v>36285</v>
      </c>
      <c r="M10" s="8">
        <v>32892</v>
      </c>
      <c r="N10" s="8">
        <v>29910</v>
      </c>
      <c r="O10" s="8">
        <v>26020</v>
      </c>
      <c r="P10" s="8">
        <v>21159</v>
      </c>
      <c r="Q10" s="8">
        <v>16933</v>
      </c>
      <c r="R10" s="8">
        <v>13153</v>
      </c>
      <c r="S10" s="8">
        <v>10013</v>
      </c>
      <c r="T10" s="8">
        <v>11775</v>
      </c>
      <c r="U10" s="7">
        <f t="shared" si="0"/>
        <v>24.342119526334731</v>
      </c>
      <c r="V10" s="7">
        <f t="shared" si="1"/>
        <v>68.082661613774619</v>
      </c>
      <c r="W10" s="7">
        <f t="shared" si="2"/>
        <v>7.5752188598906463</v>
      </c>
      <c r="X10" s="7">
        <f>SUM(I10:L10)/D10*100</f>
        <v>32.400586227978515</v>
      </c>
      <c r="Y10" s="7">
        <f t="shared" si="3"/>
        <v>46.880274110446642</v>
      </c>
    </row>
    <row r="11" spans="1:25" x14ac:dyDescent="0.25">
      <c r="A11" s="57">
        <v>1110</v>
      </c>
      <c r="B11" t="s">
        <v>2</v>
      </c>
      <c r="C11" t="s">
        <v>92</v>
      </c>
      <c r="D11" s="8">
        <v>470358</v>
      </c>
      <c r="E11" s="8">
        <v>41897</v>
      </c>
      <c r="F11" s="8">
        <v>40581</v>
      </c>
      <c r="G11" s="8">
        <v>41473</v>
      </c>
      <c r="H11" s="8">
        <v>37943</v>
      </c>
      <c r="I11" s="8">
        <v>38388</v>
      </c>
      <c r="J11" s="8">
        <v>38042</v>
      </c>
      <c r="K11" s="8">
        <v>37271</v>
      </c>
      <c r="L11" s="8">
        <v>35555</v>
      </c>
      <c r="M11" s="8">
        <v>32095</v>
      </c>
      <c r="N11" s="8">
        <v>28965</v>
      </c>
      <c r="O11" s="8">
        <v>26040</v>
      </c>
      <c r="P11" s="8">
        <v>22130</v>
      </c>
      <c r="Q11" s="8">
        <v>17482</v>
      </c>
      <c r="R11" s="8">
        <v>13067</v>
      </c>
      <c r="S11" s="8">
        <v>9540</v>
      </c>
      <c r="T11" s="8">
        <v>9889</v>
      </c>
      <c r="U11" s="7">
        <f t="shared" si="0"/>
        <v>26.352480451060682</v>
      </c>
      <c r="V11" s="7">
        <f t="shared" si="1"/>
        <v>66.738739428265276</v>
      </c>
      <c r="W11" s="7">
        <f t="shared" si="2"/>
        <v>6.9087801206740389</v>
      </c>
      <c r="X11" s="7">
        <f>SUM(I11:L11)/D11*100</f>
        <v>31.732425088974779</v>
      </c>
      <c r="Y11" s="7">
        <f t="shared" si="3"/>
        <v>49.838011410877606</v>
      </c>
    </row>
    <row r="12" spans="1:25" x14ac:dyDescent="0.25">
      <c r="A12" s="57">
        <v>1111</v>
      </c>
      <c r="B12" t="s">
        <v>2</v>
      </c>
      <c r="C12" t="s">
        <v>93</v>
      </c>
      <c r="D12" s="8">
        <v>645802</v>
      </c>
      <c r="E12" s="8">
        <v>56644</v>
      </c>
      <c r="F12" s="8">
        <v>57234</v>
      </c>
      <c r="G12" s="8">
        <v>55550</v>
      </c>
      <c r="H12" s="8">
        <v>54486</v>
      </c>
      <c r="I12" s="8">
        <v>56394</v>
      </c>
      <c r="J12" s="8">
        <v>55129</v>
      </c>
      <c r="K12" s="8">
        <v>51669</v>
      </c>
      <c r="L12" s="8">
        <v>49832</v>
      </c>
      <c r="M12" s="8">
        <v>43220</v>
      </c>
      <c r="N12" s="8">
        <v>38697</v>
      </c>
      <c r="O12" s="8">
        <v>34198</v>
      </c>
      <c r="P12" s="8">
        <v>28536</v>
      </c>
      <c r="Q12" s="8">
        <v>22717</v>
      </c>
      <c r="R12" s="8">
        <v>16903</v>
      </c>
      <c r="S12" s="8">
        <v>11796</v>
      </c>
      <c r="T12" s="8">
        <v>12797</v>
      </c>
      <c r="U12" s="7">
        <f t="shared" si="0"/>
        <v>26.235285737733854</v>
      </c>
      <c r="V12" s="7">
        <f t="shared" si="1"/>
        <v>67.339215425161271</v>
      </c>
      <c r="W12" s="7">
        <f t="shared" si="2"/>
        <v>6.42549883710487</v>
      </c>
      <c r="X12" s="7">
        <f>SUM(I12:L12)/D12*100</f>
        <v>32.98596164149383</v>
      </c>
      <c r="Y12" s="7">
        <f t="shared" si="3"/>
        <v>48.501878687815889</v>
      </c>
    </row>
    <row r="13" spans="1:25" x14ac:dyDescent="0.25">
      <c r="A13" s="57">
        <v>1112</v>
      </c>
      <c r="B13" t="s">
        <v>2</v>
      </c>
      <c r="C13" t="s">
        <v>94</v>
      </c>
      <c r="D13" s="8">
        <v>163464</v>
      </c>
      <c r="E13" s="8">
        <v>14498</v>
      </c>
      <c r="F13" s="8">
        <v>13226</v>
      </c>
      <c r="G13" s="8">
        <v>12541</v>
      </c>
      <c r="H13" s="8">
        <v>12289</v>
      </c>
      <c r="I13" s="8">
        <v>12582</v>
      </c>
      <c r="J13" s="8">
        <v>13944</v>
      </c>
      <c r="K13" s="8">
        <v>13794</v>
      </c>
      <c r="L13" s="8">
        <v>12627</v>
      </c>
      <c r="M13" s="8">
        <v>12218</v>
      </c>
      <c r="N13" s="8">
        <v>11339</v>
      </c>
      <c r="O13" s="8">
        <v>9573</v>
      </c>
      <c r="P13" s="8">
        <v>8087</v>
      </c>
      <c r="Q13" s="8">
        <v>6515</v>
      </c>
      <c r="R13" s="8">
        <v>4640</v>
      </c>
      <c r="S13" s="8">
        <v>2862</v>
      </c>
      <c r="T13" s="8">
        <v>2729</v>
      </c>
      <c r="U13" s="7">
        <f t="shared" si="0"/>
        <v>24.632334948367838</v>
      </c>
      <c r="V13" s="7">
        <f t="shared" si="1"/>
        <v>69.108794596975471</v>
      </c>
      <c r="W13" s="7">
        <f t="shared" si="2"/>
        <v>6.2588704546566829</v>
      </c>
      <c r="X13" s="7">
        <f>SUM(I13:L13)/D13*100</f>
        <v>32.390618117750698</v>
      </c>
      <c r="Y13" s="7">
        <f t="shared" si="3"/>
        <v>44.699383896324626</v>
      </c>
    </row>
    <row r="14" spans="1:25" x14ac:dyDescent="0.25">
      <c r="A14" s="57">
        <v>1113</v>
      </c>
      <c r="B14" t="s">
        <v>2</v>
      </c>
      <c r="C14" t="s">
        <v>95</v>
      </c>
      <c r="D14" s="8">
        <v>110542</v>
      </c>
      <c r="E14" s="8">
        <v>11536</v>
      </c>
      <c r="F14" s="8">
        <v>9978</v>
      </c>
      <c r="G14" s="8">
        <v>9537</v>
      </c>
      <c r="H14" s="8">
        <v>9921</v>
      </c>
      <c r="I14" s="8">
        <v>8919</v>
      </c>
      <c r="J14" s="8">
        <v>9637</v>
      </c>
      <c r="K14" s="8">
        <v>9377</v>
      </c>
      <c r="L14" s="8">
        <v>8732</v>
      </c>
      <c r="M14" s="8">
        <v>7903</v>
      </c>
      <c r="N14" s="8">
        <v>6841</v>
      </c>
      <c r="O14" s="8">
        <v>5539</v>
      </c>
      <c r="P14" s="8">
        <v>4424</v>
      </c>
      <c r="Q14" s="8">
        <v>3166</v>
      </c>
      <c r="R14" s="8">
        <v>2313</v>
      </c>
      <c r="S14" s="8">
        <v>1313</v>
      </c>
      <c r="T14" s="8">
        <v>1406</v>
      </c>
      <c r="U14" s="7">
        <f t="shared" si="0"/>
        <v>28.089775831810531</v>
      </c>
      <c r="V14" s="7">
        <f t="shared" si="1"/>
        <v>67.358108230355882</v>
      </c>
      <c r="W14" s="7">
        <f t="shared" si="2"/>
        <v>4.5521159378335829</v>
      </c>
      <c r="X14" s="7">
        <f>SUM(I14:L14)/D14*100</f>
        <v>33.168388485824387</v>
      </c>
      <c r="Y14" s="7">
        <f t="shared" si="3"/>
        <v>48.460226433339152</v>
      </c>
    </row>
    <row r="15" spans="1:25" x14ac:dyDescent="0.25">
      <c r="A15" s="57">
        <v>1114</v>
      </c>
      <c r="B15" t="s">
        <v>2</v>
      </c>
      <c r="C15" t="s">
        <v>96</v>
      </c>
      <c r="D15" s="8">
        <v>316534</v>
      </c>
      <c r="E15" s="8">
        <v>27263</v>
      </c>
      <c r="F15" s="8">
        <v>27011</v>
      </c>
      <c r="G15" s="8">
        <v>26547</v>
      </c>
      <c r="H15" s="8">
        <v>27196</v>
      </c>
      <c r="I15" s="8">
        <v>27419</v>
      </c>
      <c r="J15" s="8">
        <v>26772</v>
      </c>
      <c r="K15" s="8">
        <v>24267</v>
      </c>
      <c r="L15" s="8">
        <v>22254</v>
      </c>
      <c r="M15" s="8">
        <v>21955</v>
      </c>
      <c r="N15" s="8">
        <v>20490</v>
      </c>
      <c r="O15" s="8">
        <v>18084</v>
      </c>
      <c r="P15" s="8">
        <v>15152</v>
      </c>
      <c r="Q15" s="8">
        <v>12405</v>
      </c>
      <c r="R15" s="8">
        <v>9406</v>
      </c>
      <c r="S15" s="8">
        <v>5919</v>
      </c>
      <c r="T15" s="8">
        <v>4394</v>
      </c>
      <c r="U15" s="7">
        <f t="shared" si="0"/>
        <v>25.53311808526098</v>
      </c>
      <c r="V15" s="7">
        <f t="shared" si="1"/>
        <v>68.23721938243601</v>
      </c>
      <c r="W15" s="7">
        <f t="shared" si="2"/>
        <v>6.2296625323030073</v>
      </c>
      <c r="X15" s="7">
        <f>SUM(I15:L15)/D15*100</f>
        <v>31.817119172032072</v>
      </c>
      <c r="Y15" s="7">
        <f t="shared" si="3"/>
        <v>46.547589284887543</v>
      </c>
    </row>
    <row r="16" spans="1:25" x14ac:dyDescent="0.25">
      <c r="A16" s="57">
        <v>1115</v>
      </c>
      <c r="B16" t="s">
        <v>2</v>
      </c>
      <c r="C16" t="s">
        <v>97</v>
      </c>
      <c r="D16" s="8">
        <v>180440</v>
      </c>
      <c r="E16" s="8">
        <v>15498</v>
      </c>
      <c r="F16" s="8">
        <v>14467</v>
      </c>
      <c r="G16" s="8">
        <v>14181</v>
      </c>
      <c r="H16" s="8">
        <v>14278</v>
      </c>
      <c r="I16" s="8">
        <v>13800</v>
      </c>
      <c r="J16" s="8">
        <v>14508</v>
      </c>
      <c r="K16" s="8">
        <v>14216</v>
      </c>
      <c r="L16" s="8">
        <v>13578</v>
      </c>
      <c r="M16" s="8">
        <v>13228</v>
      </c>
      <c r="N16" s="8">
        <v>12972</v>
      </c>
      <c r="O16" s="8">
        <v>11240</v>
      </c>
      <c r="P16" s="8">
        <v>8900</v>
      </c>
      <c r="Q16" s="8">
        <v>6915</v>
      </c>
      <c r="R16" s="8">
        <v>5531</v>
      </c>
      <c r="S16" s="8">
        <v>3489</v>
      </c>
      <c r="T16" s="8">
        <v>3639</v>
      </c>
      <c r="U16" s="7">
        <f t="shared" si="0"/>
        <v>24.465750387940592</v>
      </c>
      <c r="V16" s="7">
        <f t="shared" si="1"/>
        <v>68.518621148304149</v>
      </c>
      <c r="W16" s="7">
        <f t="shared" si="2"/>
        <v>7.0156284637552648</v>
      </c>
      <c r="X16" s="7">
        <f>SUM(I16:L16)/D16*100</f>
        <v>31.091775659499003</v>
      </c>
      <c r="Y16" s="7">
        <f t="shared" si="3"/>
        <v>45.94572734258098</v>
      </c>
    </row>
    <row r="17" spans="1:25" x14ac:dyDescent="0.25">
      <c r="A17" s="57">
        <v>1116</v>
      </c>
      <c r="B17" t="s">
        <v>2</v>
      </c>
      <c r="C17" t="s">
        <v>98</v>
      </c>
      <c r="D17" s="8">
        <v>102242</v>
      </c>
      <c r="E17" s="8">
        <v>9875</v>
      </c>
      <c r="F17" s="8">
        <v>9389</v>
      </c>
      <c r="G17" s="8">
        <v>8595</v>
      </c>
      <c r="H17" s="8">
        <v>9478</v>
      </c>
      <c r="I17" s="8">
        <v>7330</v>
      </c>
      <c r="J17" s="8">
        <v>7293</v>
      </c>
      <c r="K17" s="8">
        <v>7839</v>
      </c>
      <c r="L17" s="8">
        <v>7899</v>
      </c>
      <c r="M17" s="8">
        <v>7791</v>
      </c>
      <c r="N17" s="8">
        <v>6882</v>
      </c>
      <c r="O17" s="8">
        <v>5732</v>
      </c>
      <c r="P17" s="8">
        <v>4678</v>
      </c>
      <c r="Q17" s="8">
        <v>3499</v>
      </c>
      <c r="R17" s="8">
        <v>2548</v>
      </c>
      <c r="S17" s="8">
        <v>1478</v>
      </c>
      <c r="T17" s="8">
        <v>1936</v>
      </c>
      <c r="U17" s="7">
        <f t="shared" si="0"/>
        <v>27.248097650671937</v>
      </c>
      <c r="V17" s="7">
        <f t="shared" si="1"/>
        <v>66.920639267619961</v>
      </c>
      <c r="W17" s="7">
        <f t="shared" si="2"/>
        <v>5.831263081708105</v>
      </c>
      <c r="X17" s="7">
        <f>SUM(I17:L17)/D17*100</f>
        <v>29.695232878856046</v>
      </c>
      <c r="Y17" s="7">
        <f t="shared" si="3"/>
        <v>49.430730331331027</v>
      </c>
    </row>
    <row r="18" spans="1:25" x14ac:dyDescent="0.25">
      <c r="A18" s="57">
        <v>1117</v>
      </c>
      <c r="B18" t="s">
        <v>2</v>
      </c>
      <c r="C18" t="s">
        <v>99</v>
      </c>
      <c r="D18" s="8">
        <v>177600</v>
      </c>
      <c r="E18" s="8">
        <v>16220</v>
      </c>
      <c r="F18" s="8">
        <v>15516</v>
      </c>
      <c r="G18" s="8">
        <v>16410</v>
      </c>
      <c r="H18" s="8">
        <v>15718</v>
      </c>
      <c r="I18" s="8">
        <v>14373</v>
      </c>
      <c r="J18" s="8">
        <v>13965</v>
      </c>
      <c r="K18" s="8">
        <v>13110</v>
      </c>
      <c r="L18" s="8">
        <v>12931</v>
      </c>
      <c r="M18" s="8">
        <v>12543</v>
      </c>
      <c r="N18" s="8">
        <v>12675</v>
      </c>
      <c r="O18" s="8">
        <v>10730</v>
      </c>
      <c r="P18" s="8">
        <v>7771</v>
      </c>
      <c r="Q18" s="8">
        <v>5874</v>
      </c>
      <c r="R18" s="8">
        <v>4195</v>
      </c>
      <c r="S18" s="8">
        <v>2741</v>
      </c>
      <c r="T18" s="8">
        <v>2828</v>
      </c>
      <c r="U18" s="7">
        <f t="shared" si="0"/>
        <v>27.109234234234236</v>
      </c>
      <c r="V18" s="7">
        <f t="shared" si="1"/>
        <v>67.393018018018012</v>
      </c>
      <c r="W18" s="7">
        <f t="shared" si="2"/>
        <v>5.4977477477477477</v>
      </c>
      <c r="X18" s="7">
        <f>SUM(I18:L18)/D18*100</f>
        <v>30.618806306306308</v>
      </c>
      <c r="Y18" s="7">
        <f t="shared" si="3"/>
        <v>48.38332358593032</v>
      </c>
    </row>
    <row r="19" spans="1:25" x14ac:dyDescent="0.25">
      <c r="A19" s="57">
        <v>1118</v>
      </c>
      <c r="B19" t="s">
        <v>2</v>
      </c>
      <c r="C19" t="s">
        <v>100</v>
      </c>
      <c r="D19" s="8">
        <v>170580</v>
      </c>
      <c r="E19" s="8">
        <v>15631</v>
      </c>
      <c r="F19" s="8">
        <v>14311</v>
      </c>
      <c r="G19" s="8">
        <v>13498</v>
      </c>
      <c r="H19" s="8">
        <v>13473</v>
      </c>
      <c r="I19" s="8">
        <v>14176</v>
      </c>
      <c r="J19" s="8">
        <v>14072</v>
      </c>
      <c r="K19" s="8">
        <v>13272</v>
      </c>
      <c r="L19" s="8">
        <v>13355</v>
      </c>
      <c r="M19" s="8">
        <v>12201</v>
      </c>
      <c r="N19" s="8">
        <v>11010</v>
      </c>
      <c r="O19" s="8">
        <v>9341</v>
      </c>
      <c r="P19" s="8">
        <v>7596</v>
      </c>
      <c r="Q19" s="8">
        <v>6049</v>
      </c>
      <c r="R19" s="8">
        <v>4658</v>
      </c>
      <c r="S19" s="8">
        <v>3601</v>
      </c>
      <c r="T19" s="8">
        <v>4336</v>
      </c>
      <c r="U19" s="7">
        <f t="shared" si="0"/>
        <v>25.466056982061204</v>
      </c>
      <c r="V19" s="7">
        <f t="shared" si="1"/>
        <v>67.1503107046547</v>
      </c>
      <c r="W19" s="7">
        <f t="shared" si="2"/>
        <v>7.3836323132840898</v>
      </c>
      <c r="X19" s="7">
        <f>SUM(I19:L19)/D19*100</f>
        <v>32.169656466174231</v>
      </c>
      <c r="Y19" s="7">
        <f t="shared" si="3"/>
        <v>48.919638569994326</v>
      </c>
    </row>
    <row r="20" spans="1:25" x14ac:dyDescent="0.25">
      <c r="A20" s="57">
        <v>1171</v>
      </c>
      <c r="B20" t="s">
        <v>2</v>
      </c>
      <c r="C20" t="s">
        <v>101</v>
      </c>
      <c r="D20" s="8">
        <v>270795</v>
      </c>
      <c r="E20" s="8">
        <v>21248</v>
      </c>
      <c r="F20" s="8">
        <v>24948</v>
      </c>
      <c r="G20" s="8">
        <v>23900</v>
      </c>
      <c r="H20" s="8">
        <v>23986</v>
      </c>
      <c r="I20" s="8">
        <v>19007</v>
      </c>
      <c r="J20" s="8">
        <v>18982</v>
      </c>
      <c r="K20" s="8">
        <v>21517</v>
      </c>
      <c r="L20" s="8">
        <v>23656</v>
      </c>
      <c r="M20" s="8">
        <v>22094</v>
      </c>
      <c r="N20" s="8">
        <v>18258</v>
      </c>
      <c r="O20" s="8">
        <v>15322</v>
      </c>
      <c r="P20" s="8">
        <v>12630</v>
      </c>
      <c r="Q20" s="8">
        <v>10149</v>
      </c>
      <c r="R20" s="8">
        <v>6840</v>
      </c>
      <c r="S20" s="8">
        <v>4490</v>
      </c>
      <c r="T20" s="8">
        <v>3768</v>
      </c>
      <c r="U20" s="7">
        <f t="shared" si="0"/>
        <v>25.885263760409167</v>
      </c>
      <c r="V20" s="7">
        <f t="shared" si="1"/>
        <v>68.53930094721099</v>
      </c>
      <c r="W20" s="7">
        <f t="shared" si="2"/>
        <v>5.5754352923798445</v>
      </c>
      <c r="X20" s="7">
        <f>SUM(I20:L20)/D20*100</f>
        <v>30.710315921638138</v>
      </c>
      <c r="Y20" s="7">
        <f t="shared" si="3"/>
        <v>45.901692340019714</v>
      </c>
    </row>
    <row r="21" spans="1:25" x14ac:dyDescent="0.25">
      <c r="A21" s="57">
        <v>1172</v>
      </c>
      <c r="B21" t="s">
        <v>2</v>
      </c>
      <c r="C21" t="s">
        <v>102</v>
      </c>
      <c r="D21" s="8">
        <v>44610</v>
      </c>
      <c r="E21" s="8">
        <v>3760</v>
      </c>
      <c r="F21" s="8">
        <v>4004</v>
      </c>
      <c r="G21" s="8">
        <v>3877</v>
      </c>
      <c r="H21" s="8">
        <v>3857</v>
      </c>
      <c r="I21" s="8">
        <v>3677</v>
      </c>
      <c r="J21" s="8">
        <v>3083</v>
      </c>
      <c r="K21" s="8">
        <v>3070</v>
      </c>
      <c r="L21" s="8">
        <v>3317</v>
      </c>
      <c r="M21" s="8">
        <v>3540</v>
      </c>
      <c r="N21" s="8">
        <v>3295</v>
      </c>
      <c r="O21" s="8">
        <v>2700</v>
      </c>
      <c r="P21" s="8">
        <v>1980</v>
      </c>
      <c r="Q21" s="8">
        <v>1507</v>
      </c>
      <c r="R21" s="8">
        <v>1144</v>
      </c>
      <c r="S21" s="8">
        <v>890</v>
      </c>
      <c r="T21" s="8">
        <v>909</v>
      </c>
      <c r="U21" s="7">
        <f t="shared" si="0"/>
        <v>26.095045953822009</v>
      </c>
      <c r="V21" s="7">
        <f t="shared" si="1"/>
        <v>67.307778524994404</v>
      </c>
      <c r="W21" s="7">
        <f t="shared" si="2"/>
        <v>6.5971755211835914</v>
      </c>
      <c r="X21" s="7">
        <f>SUM(I21:L21)/D21*100</f>
        <v>29.470970634386905</v>
      </c>
      <c r="Y21" s="7">
        <f t="shared" si="3"/>
        <v>48.571238260174518</v>
      </c>
    </row>
    <row r="22" spans="1:25" x14ac:dyDescent="0.25">
      <c r="A22" s="57">
        <v>1173</v>
      </c>
      <c r="B22" t="s">
        <v>2</v>
      </c>
      <c r="C22" t="s">
        <v>103</v>
      </c>
      <c r="D22" s="8">
        <v>204203</v>
      </c>
      <c r="E22" s="8">
        <v>17682</v>
      </c>
      <c r="F22" s="8">
        <v>16271</v>
      </c>
      <c r="G22" s="8">
        <v>15372</v>
      </c>
      <c r="H22" s="8">
        <v>15825</v>
      </c>
      <c r="I22" s="8">
        <v>17167</v>
      </c>
      <c r="J22" s="8">
        <v>17219</v>
      </c>
      <c r="K22" s="8">
        <v>16459</v>
      </c>
      <c r="L22" s="8">
        <v>16075</v>
      </c>
      <c r="M22" s="8">
        <v>15477</v>
      </c>
      <c r="N22" s="8">
        <v>13448</v>
      </c>
      <c r="O22" s="8">
        <v>11775</v>
      </c>
      <c r="P22" s="8">
        <v>10099</v>
      </c>
      <c r="Q22" s="8">
        <v>8207</v>
      </c>
      <c r="R22" s="8">
        <v>6063</v>
      </c>
      <c r="S22" s="8">
        <v>3967</v>
      </c>
      <c r="T22" s="8">
        <v>3097</v>
      </c>
      <c r="U22" s="7">
        <f t="shared" si="0"/>
        <v>24.154885089837073</v>
      </c>
      <c r="V22" s="7">
        <f t="shared" si="1"/>
        <v>69.416707883821488</v>
      </c>
      <c r="W22" s="7">
        <f t="shared" si="2"/>
        <v>6.4284070263414348</v>
      </c>
      <c r="X22" s="7">
        <f>SUM(I22:L22)/D22*100</f>
        <v>32.771310901406935</v>
      </c>
      <c r="Y22" s="7">
        <f t="shared" si="3"/>
        <v>44.057537512962867</v>
      </c>
    </row>
    <row r="23" spans="1:25" x14ac:dyDescent="0.25">
      <c r="A23" s="57">
        <v>1174</v>
      </c>
      <c r="B23" t="s">
        <v>2</v>
      </c>
      <c r="C23" t="s">
        <v>104</v>
      </c>
      <c r="D23" s="8">
        <v>206394</v>
      </c>
      <c r="E23" s="8">
        <v>18554</v>
      </c>
      <c r="F23" s="8">
        <v>17597</v>
      </c>
      <c r="G23" s="8">
        <v>16982</v>
      </c>
      <c r="H23" s="8">
        <v>17426</v>
      </c>
      <c r="I23" s="8">
        <v>17748</v>
      </c>
      <c r="J23" s="8">
        <v>17061</v>
      </c>
      <c r="K23" s="8">
        <v>16163</v>
      </c>
      <c r="L23" s="8">
        <v>15462</v>
      </c>
      <c r="M23" s="8">
        <v>14361</v>
      </c>
      <c r="N23" s="8">
        <v>13596</v>
      </c>
      <c r="O23" s="8">
        <v>11750</v>
      </c>
      <c r="P23" s="8">
        <v>9818</v>
      </c>
      <c r="Q23" s="8">
        <v>7976</v>
      </c>
      <c r="R23" s="8">
        <v>5777</v>
      </c>
      <c r="S23" s="8">
        <v>3589</v>
      </c>
      <c r="T23" s="8">
        <v>2534</v>
      </c>
      <c r="U23" s="7">
        <f t="shared" si="0"/>
        <v>25.743480915142879</v>
      </c>
      <c r="V23" s="7">
        <f t="shared" si="1"/>
        <v>68.490847602158979</v>
      </c>
      <c r="W23" s="7">
        <f t="shared" si="2"/>
        <v>5.7656714826981403</v>
      </c>
      <c r="X23" s="7">
        <f>SUM(I23:L23)/D23*100</f>
        <v>32.187951200131785</v>
      </c>
      <c r="Y23" s="7">
        <f t="shared" si="3"/>
        <v>46.004909416317091</v>
      </c>
    </row>
    <row r="24" spans="1:25" x14ac:dyDescent="0.25">
      <c r="A24" s="57">
        <v>1175</v>
      </c>
      <c r="B24" t="s">
        <v>2</v>
      </c>
      <c r="C24" t="s">
        <v>105</v>
      </c>
      <c r="D24" s="8">
        <v>103499</v>
      </c>
      <c r="E24" s="8">
        <v>12103</v>
      </c>
      <c r="F24" s="8">
        <v>10425</v>
      </c>
      <c r="G24" s="8">
        <v>10178</v>
      </c>
      <c r="H24" s="8">
        <v>9324</v>
      </c>
      <c r="I24" s="8">
        <v>9347</v>
      </c>
      <c r="J24" s="8">
        <v>9895</v>
      </c>
      <c r="K24" s="8">
        <v>8620</v>
      </c>
      <c r="L24" s="8">
        <v>7181</v>
      </c>
      <c r="M24" s="8">
        <v>6690</v>
      </c>
      <c r="N24" s="8">
        <v>5635</v>
      </c>
      <c r="O24" s="8">
        <v>4461</v>
      </c>
      <c r="P24" s="8">
        <v>3513</v>
      </c>
      <c r="Q24" s="8">
        <v>2577</v>
      </c>
      <c r="R24" s="8">
        <v>1677</v>
      </c>
      <c r="S24" s="8">
        <v>1039</v>
      </c>
      <c r="T24" s="8">
        <v>834</v>
      </c>
      <c r="U24" s="7">
        <f t="shared" si="0"/>
        <v>31.600305316959581</v>
      </c>
      <c r="V24" s="7">
        <f t="shared" si="1"/>
        <v>64.969709852269105</v>
      </c>
      <c r="W24" s="7">
        <f t="shared" si="2"/>
        <v>3.4299848307713119</v>
      </c>
      <c r="X24" s="7">
        <f>SUM(I24:L24)/D24*100</f>
        <v>33.858298147808192</v>
      </c>
      <c r="Y24" s="7">
        <f t="shared" si="3"/>
        <v>53.917879928022252</v>
      </c>
    </row>
    <row r="25" spans="1:25" x14ac:dyDescent="0.25">
      <c r="A25" s="57">
        <v>1201</v>
      </c>
      <c r="B25" t="s">
        <v>48</v>
      </c>
      <c r="C25" t="s">
        <v>106</v>
      </c>
      <c r="D25" s="8">
        <v>159325</v>
      </c>
      <c r="E25" s="8">
        <v>18972</v>
      </c>
      <c r="F25" s="8">
        <v>12545</v>
      </c>
      <c r="G25" s="8">
        <v>15295</v>
      </c>
      <c r="H25" s="8">
        <v>16883</v>
      </c>
      <c r="I25" s="8">
        <v>15767</v>
      </c>
      <c r="J25" s="8">
        <v>14386</v>
      </c>
      <c r="K25" s="8">
        <v>11715</v>
      </c>
      <c r="L25" s="8">
        <v>11555</v>
      </c>
      <c r="M25" s="8">
        <v>9742</v>
      </c>
      <c r="N25" s="8">
        <v>8648</v>
      </c>
      <c r="O25" s="8">
        <v>6677</v>
      </c>
      <c r="P25" s="8">
        <v>4786</v>
      </c>
      <c r="Q25" s="8">
        <v>3898</v>
      </c>
      <c r="R25" s="8">
        <v>3293</v>
      </c>
      <c r="S25" s="8">
        <v>2421</v>
      </c>
      <c r="T25" s="8">
        <v>2742</v>
      </c>
      <c r="U25" s="7">
        <f t="shared" si="0"/>
        <v>29.381453004864273</v>
      </c>
      <c r="V25" s="7">
        <f t="shared" si="1"/>
        <v>65.311156441236463</v>
      </c>
      <c r="W25" s="7">
        <f t="shared" si="2"/>
        <v>5.3073905538992623</v>
      </c>
      <c r="X25" s="7">
        <f>SUM(I25:L25)/D25*100</f>
        <v>33.530833202573355</v>
      </c>
      <c r="Y25" s="7">
        <f t="shared" si="3"/>
        <v>53.113197574406335</v>
      </c>
    </row>
    <row r="26" spans="1:25" x14ac:dyDescent="0.25">
      <c r="A26" s="57">
        <v>1202</v>
      </c>
      <c r="B26" t="s">
        <v>48</v>
      </c>
      <c r="C26" t="s">
        <v>107</v>
      </c>
      <c r="D26" s="8">
        <v>521528</v>
      </c>
      <c r="E26" s="8">
        <v>54959</v>
      </c>
      <c r="F26" s="8">
        <v>50655</v>
      </c>
      <c r="G26" s="8">
        <v>48912</v>
      </c>
      <c r="H26" s="8">
        <v>47814</v>
      </c>
      <c r="I26" s="8">
        <v>44187</v>
      </c>
      <c r="J26" s="8">
        <v>41701</v>
      </c>
      <c r="K26" s="8">
        <v>40189</v>
      </c>
      <c r="L26" s="8">
        <v>38539</v>
      </c>
      <c r="M26" s="8">
        <v>32006</v>
      </c>
      <c r="N26" s="8">
        <v>28211</v>
      </c>
      <c r="O26" s="8">
        <v>24639</v>
      </c>
      <c r="P26" s="8">
        <v>21197</v>
      </c>
      <c r="Q26" s="8">
        <v>18011</v>
      </c>
      <c r="R26" s="8">
        <v>13826</v>
      </c>
      <c r="S26" s="8">
        <v>9299</v>
      </c>
      <c r="T26" s="8">
        <v>7383</v>
      </c>
      <c r="U26" s="7">
        <f t="shared" si="0"/>
        <v>29.629473393566595</v>
      </c>
      <c r="V26" s="7">
        <f t="shared" si="1"/>
        <v>64.520792747465137</v>
      </c>
      <c r="W26" s="7">
        <f t="shared" si="2"/>
        <v>5.8497338589682624</v>
      </c>
      <c r="X26" s="7">
        <f>SUM(I26:L26)/D26*100</f>
        <v>31.564172968661317</v>
      </c>
      <c r="Y26" s="7">
        <f t="shared" si="3"/>
        <v>54.988796234108186</v>
      </c>
    </row>
    <row r="27" spans="1:25" x14ac:dyDescent="0.25">
      <c r="A27" s="57">
        <v>1203</v>
      </c>
      <c r="B27" t="s">
        <v>48</v>
      </c>
      <c r="C27" t="s">
        <v>108</v>
      </c>
      <c r="D27" s="8">
        <v>324079</v>
      </c>
      <c r="E27" s="8">
        <v>30854</v>
      </c>
      <c r="F27" s="8">
        <v>29755</v>
      </c>
      <c r="G27" s="8">
        <v>30532</v>
      </c>
      <c r="H27" s="8">
        <v>30708</v>
      </c>
      <c r="I27" s="8">
        <v>28196</v>
      </c>
      <c r="J27" s="8">
        <v>27283</v>
      </c>
      <c r="K27" s="8">
        <v>25255</v>
      </c>
      <c r="L27" s="8">
        <v>23028</v>
      </c>
      <c r="M27" s="8">
        <v>19618</v>
      </c>
      <c r="N27" s="8">
        <v>17408</v>
      </c>
      <c r="O27" s="8">
        <v>15540</v>
      </c>
      <c r="P27" s="8">
        <v>13633</v>
      </c>
      <c r="Q27" s="8">
        <v>11979</v>
      </c>
      <c r="R27" s="8">
        <v>9327</v>
      </c>
      <c r="S27" s="8">
        <v>6128</v>
      </c>
      <c r="T27" s="8">
        <v>4835</v>
      </c>
      <c r="U27" s="7">
        <f t="shared" si="0"/>
        <v>28.123081100595844</v>
      </c>
      <c r="V27" s="7">
        <f t="shared" si="1"/>
        <v>65.616099778140509</v>
      </c>
      <c r="W27" s="7">
        <f t="shared" si="2"/>
        <v>6.2608191212636433</v>
      </c>
      <c r="X27" s="7">
        <f>SUM(I27:L27)/D27*100</f>
        <v>32.017501905399612</v>
      </c>
      <c r="Y27" s="7">
        <f t="shared" si="3"/>
        <v>52.40162145893683</v>
      </c>
    </row>
    <row r="28" spans="1:25" x14ac:dyDescent="0.25">
      <c r="A28" s="57">
        <v>1204</v>
      </c>
      <c r="B28" t="s">
        <v>48</v>
      </c>
      <c r="C28" t="s">
        <v>109</v>
      </c>
      <c r="D28" s="8">
        <v>410849</v>
      </c>
      <c r="E28" s="8">
        <v>44545</v>
      </c>
      <c r="F28" s="8">
        <v>32418</v>
      </c>
      <c r="G28" s="8">
        <v>33561</v>
      </c>
      <c r="H28" s="8">
        <v>36351</v>
      </c>
      <c r="I28" s="8">
        <v>38032</v>
      </c>
      <c r="J28" s="8">
        <v>37040</v>
      </c>
      <c r="K28" s="8">
        <v>34146</v>
      </c>
      <c r="L28" s="8">
        <v>32220</v>
      </c>
      <c r="M28" s="8">
        <v>26938</v>
      </c>
      <c r="N28" s="8">
        <v>22872</v>
      </c>
      <c r="O28" s="8">
        <v>19625</v>
      </c>
      <c r="P28" s="8">
        <v>16233</v>
      </c>
      <c r="Q28" s="8">
        <v>13175</v>
      </c>
      <c r="R28" s="8">
        <v>10108</v>
      </c>
      <c r="S28" s="8">
        <v>6987</v>
      </c>
      <c r="T28" s="8">
        <v>6598</v>
      </c>
      <c r="U28" s="7">
        <f t="shared" si="0"/>
        <v>26.901367655756736</v>
      </c>
      <c r="V28" s="7">
        <f t="shared" si="1"/>
        <v>67.33179343262367</v>
      </c>
      <c r="W28" s="7">
        <f t="shared" si="2"/>
        <v>5.7668389116195975</v>
      </c>
      <c r="X28" s="7">
        <f>SUM(I28:L28)/D28*100</f>
        <v>34.42578660286383</v>
      </c>
      <c r="Y28" s="7">
        <f t="shared" si="3"/>
        <v>48.518248069637643</v>
      </c>
    </row>
    <row r="29" spans="1:25" x14ac:dyDescent="0.25">
      <c r="A29" s="57">
        <v>1205</v>
      </c>
      <c r="B29" t="s">
        <v>48</v>
      </c>
      <c r="C29" t="s">
        <v>110</v>
      </c>
      <c r="D29" s="8">
        <v>334715</v>
      </c>
      <c r="E29" s="8">
        <v>31505</v>
      </c>
      <c r="F29" s="8">
        <v>29731</v>
      </c>
      <c r="G29" s="8">
        <v>31312</v>
      </c>
      <c r="H29" s="8">
        <v>32109</v>
      </c>
      <c r="I29" s="8">
        <v>31627</v>
      </c>
      <c r="J29" s="8">
        <v>27020</v>
      </c>
      <c r="K29" s="8">
        <v>22507</v>
      </c>
      <c r="L29" s="8">
        <v>20431</v>
      </c>
      <c r="M29" s="8">
        <v>19105</v>
      </c>
      <c r="N29" s="8">
        <v>18133</v>
      </c>
      <c r="O29" s="8">
        <v>16343</v>
      </c>
      <c r="P29" s="8">
        <v>14293</v>
      </c>
      <c r="Q29" s="8">
        <v>12791</v>
      </c>
      <c r="R29" s="8">
        <v>10813</v>
      </c>
      <c r="S29" s="8">
        <v>8360</v>
      </c>
      <c r="T29" s="8">
        <v>8635</v>
      </c>
      <c r="U29" s="7">
        <f t="shared" si="0"/>
        <v>27.649791613760961</v>
      </c>
      <c r="V29" s="7">
        <f t="shared" si="1"/>
        <v>64.042244894910596</v>
      </c>
      <c r="W29" s="7">
        <f t="shared" si="2"/>
        <v>8.3079634913284437</v>
      </c>
      <c r="X29" s="7">
        <f>SUM(I29:L29)/D29*100</f>
        <v>30.34970049146289</v>
      </c>
      <c r="Y29" s="7">
        <f t="shared" si="3"/>
        <v>56.146931082902981</v>
      </c>
    </row>
    <row r="30" spans="1:25" x14ac:dyDescent="0.25">
      <c r="A30" s="57">
        <v>1206</v>
      </c>
      <c r="B30" t="s">
        <v>48</v>
      </c>
      <c r="C30" t="s">
        <v>602</v>
      </c>
      <c r="D30" s="8">
        <v>222422</v>
      </c>
      <c r="E30" s="8">
        <v>20754</v>
      </c>
      <c r="F30" s="8">
        <v>20808</v>
      </c>
      <c r="G30" s="8">
        <v>20243</v>
      </c>
      <c r="H30" s="8">
        <v>20365</v>
      </c>
      <c r="I30" s="8">
        <v>20549</v>
      </c>
      <c r="J30" s="8">
        <v>16896</v>
      </c>
      <c r="K30" s="8">
        <v>14365</v>
      </c>
      <c r="L30" s="8">
        <v>13403</v>
      </c>
      <c r="M30" s="8">
        <v>13614</v>
      </c>
      <c r="N30" s="8">
        <v>13056</v>
      </c>
      <c r="O30" s="8">
        <v>11689</v>
      </c>
      <c r="P30" s="8">
        <v>10278</v>
      </c>
      <c r="Q30" s="8">
        <v>8333</v>
      </c>
      <c r="R30" s="8">
        <v>6686</v>
      </c>
      <c r="S30" s="8">
        <v>5419</v>
      </c>
      <c r="T30" s="8">
        <v>5964</v>
      </c>
      <c r="U30" s="7">
        <f t="shared" si="0"/>
        <v>27.787269244948792</v>
      </c>
      <c r="V30" s="7">
        <f t="shared" si="1"/>
        <v>64.088984003380958</v>
      </c>
      <c r="W30" s="7">
        <f t="shared" si="2"/>
        <v>8.1237467516702484</v>
      </c>
      <c r="X30" s="7">
        <f>SUM(I30:L30)/D30*100</f>
        <v>29.319491776892576</v>
      </c>
      <c r="Y30" s="7">
        <f t="shared" si="3"/>
        <v>56.033055532171616</v>
      </c>
    </row>
    <row r="31" spans="1:25" x14ac:dyDescent="0.25">
      <c r="A31" s="57">
        <v>1207</v>
      </c>
      <c r="B31" t="s">
        <v>48</v>
      </c>
      <c r="C31" t="s">
        <v>111</v>
      </c>
      <c r="D31" s="8">
        <v>533334</v>
      </c>
      <c r="E31" s="8">
        <v>48595</v>
      </c>
      <c r="F31" s="8">
        <v>47359</v>
      </c>
      <c r="G31" s="8">
        <v>47500</v>
      </c>
      <c r="H31" s="8">
        <v>46161</v>
      </c>
      <c r="I31" s="8">
        <v>45880</v>
      </c>
      <c r="J31" s="8">
        <v>44239</v>
      </c>
      <c r="K31" s="8">
        <v>44027</v>
      </c>
      <c r="L31" s="8">
        <v>40664</v>
      </c>
      <c r="M31" s="8">
        <v>37170</v>
      </c>
      <c r="N31" s="8">
        <v>33494</v>
      </c>
      <c r="O31" s="8">
        <v>28624</v>
      </c>
      <c r="P31" s="8">
        <v>22848</v>
      </c>
      <c r="Q31" s="8">
        <v>18129</v>
      </c>
      <c r="R31" s="8">
        <v>13377</v>
      </c>
      <c r="S31" s="8">
        <v>8577</v>
      </c>
      <c r="T31" s="8">
        <v>6690</v>
      </c>
      <c r="U31" s="7">
        <f t="shared" si="0"/>
        <v>26.897591378010777</v>
      </c>
      <c r="V31" s="7">
        <f t="shared" si="1"/>
        <v>67.731665335418327</v>
      </c>
      <c r="W31" s="7">
        <f t="shared" si="2"/>
        <v>5.3707432865708924</v>
      </c>
      <c r="X31" s="7">
        <f>SUM(I31:L31)/D31*100</f>
        <v>32.776834028957467</v>
      </c>
      <c r="Y31" s="7">
        <f t="shared" si="3"/>
        <v>47.641431086602665</v>
      </c>
    </row>
    <row r="32" spans="1:25" x14ac:dyDescent="0.25">
      <c r="A32" s="57">
        <v>1208</v>
      </c>
      <c r="B32" t="s">
        <v>48</v>
      </c>
      <c r="C32" t="s">
        <v>112</v>
      </c>
      <c r="D32" s="8">
        <v>835180</v>
      </c>
      <c r="E32" s="8">
        <v>74327</v>
      </c>
      <c r="F32" s="8">
        <v>77052</v>
      </c>
      <c r="G32" s="8">
        <v>71463</v>
      </c>
      <c r="H32" s="8">
        <v>68976</v>
      </c>
      <c r="I32" s="8">
        <v>67885</v>
      </c>
      <c r="J32" s="8">
        <v>68715</v>
      </c>
      <c r="K32" s="8">
        <v>66629</v>
      </c>
      <c r="L32" s="8">
        <v>60235</v>
      </c>
      <c r="M32" s="8">
        <v>56619</v>
      </c>
      <c r="N32" s="8">
        <v>51829</v>
      </c>
      <c r="O32" s="8">
        <v>45806</v>
      </c>
      <c r="P32" s="8">
        <v>39382</v>
      </c>
      <c r="Q32" s="8">
        <v>32499</v>
      </c>
      <c r="R32" s="8">
        <v>24843</v>
      </c>
      <c r="S32" s="8">
        <v>16424</v>
      </c>
      <c r="T32" s="8">
        <v>12496</v>
      </c>
      <c r="U32" s="7">
        <f t="shared" si="0"/>
        <v>26.681912881055581</v>
      </c>
      <c r="V32" s="7">
        <f t="shared" si="1"/>
        <v>66.880792164563331</v>
      </c>
      <c r="W32" s="7">
        <f t="shared" si="2"/>
        <v>6.4372949543810911</v>
      </c>
      <c r="X32" s="7">
        <f>SUM(I32:L32)/D32*100</f>
        <v>31.545774563567136</v>
      </c>
      <c r="Y32" s="7">
        <f t="shared" si="3"/>
        <v>49.519760103835651</v>
      </c>
    </row>
    <row r="33" spans="1:25" x14ac:dyDescent="0.25">
      <c r="A33" s="57">
        <v>1209</v>
      </c>
      <c r="B33" t="s">
        <v>48</v>
      </c>
      <c r="C33" t="s">
        <v>113</v>
      </c>
      <c r="D33" s="8">
        <v>1082872</v>
      </c>
      <c r="E33" s="8">
        <v>94885</v>
      </c>
      <c r="F33" s="8">
        <v>82459</v>
      </c>
      <c r="G33" s="8">
        <v>83976</v>
      </c>
      <c r="H33" s="8">
        <v>86025</v>
      </c>
      <c r="I33" s="8">
        <v>86938</v>
      </c>
      <c r="J33" s="8">
        <v>86958</v>
      </c>
      <c r="K33" s="8">
        <v>87201</v>
      </c>
      <c r="L33" s="8">
        <v>81668</v>
      </c>
      <c r="M33" s="8">
        <v>76119</v>
      </c>
      <c r="N33" s="8">
        <v>68390</v>
      </c>
      <c r="O33" s="8">
        <v>60631</v>
      </c>
      <c r="P33" s="8">
        <v>53131</v>
      </c>
      <c r="Q33" s="8">
        <v>45315</v>
      </c>
      <c r="R33" s="8">
        <v>37466</v>
      </c>
      <c r="S33" s="8">
        <v>27209</v>
      </c>
      <c r="T33" s="8">
        <v>24501</v>
      </c>
      <c r="U33" s="7">
        <f t="shared" si="0"/>
        <v>24.132122725492948</v>
      </c>
      <c r="V33" s="7">
        <f t="shared" si="1"/>
        <v>67.632739603572716</v>
      </c>
      <c r="W33" s="7">
        <f t="shared" si="2"/>
        <v>8.2351376709343302</v>
      </c>
      <c r="X33" s="7">
        <f>SUM(I33:L33)/D33*100</f>
        <v>31.653325600809701</v>
      </c>
      <c r="Y33" s="7">
        <f t="shared" si="3"/>
        <v>47.857384731340183</v>
      </c>
    </row>
    <row r="34" spans="1:25" x14ac:dyDescent="0.25">
      <c r="A34" s="57">
        <v>1210</v>
      </c>
      <c r="B34" t="s">
        <v>48</v>
      </c>
      <c r="C34" t="s">
        <v>114</v>
      </c>
      <c r="D34" s="8">
        <v>342229</v>
      </c>
      <c r="E34" s="8">
        <v>36283</v>
      </c>
      <c r="F34" s="8">
        <v>29634</v>
      </c>
      <c r="G34" s="8">
        <v>30208</v>
      </c>
      <c r="H34" s="8">
        <v>31499</v>
      </c>
      <c r="I34" s="8">
        <v>31201</v>
      </c>
      <c r="J34" s="8">
        <v>30143</v>
      </c>
      <c r="K34" s="8">
        <v>25423</v>
      </c>
      <c r="L34" s="8">
        <v>21567</v>
      </c>
      <c r="M34" s="8">
        <v>19301</v>
      </c>
      <c r="N34" s="8">
        <v>18675</v>
      </c>
      <c r="O34" s="8">
        <v>16497</v>
      </c>
      <c r="P34" s="8">
        <v>14738</v>
      </c>
      <c r="Q34" s="8">
        <v>12447</v>
      </c>
      <c r="R34" s="8">
        <v>10444</v>
      </c>
      <c r="S34" s="8">
        <v>7538</v>
      </c>
      <c r="T34" s="8">
        <v>6631</v>
      </c>
      <c r="U34" s="7">
        <f t="shared" si="0"/>
        <v>28.08791773929153</v>
      </c>
      <c r="V34" s="7">
        <f t="shared" si="1"/>
        <v>64.720114309424389</v>
      </c>
      <c r="W34" s="7">
        <f t="shared" si="2"/>
        <v>7.1919679512840808</v>
      </c>
      <c r="X34" s="7">
        <f>SUM(I34:L34)/D34*100</f>
        <v>31.655412019437279</v>
      </c>
      <c r="Y34" s="7">
        <f t="shared" si="3"/>
        <v>54.511469992008713</v>
      </c>
    </row>
    <row r="35" spans="1:25" x14ac:dyDescent="0.25">
      <c r="A35" s="57">
        <v>1211</v>
      </c>
      <c r="B35" t="s">
        <v>48</v>
      </c>
      <c r="C35" t="s">
        <v>115</v>
      </c>
      <c r="D35" s="8">
        <v>437547</v>
      </c>
      <c r="E35" s="8">
        <v>37399</v>
      </c>
      <c r="F35" s="8">
        <v>34265</v>
      </c>
      <c r="G35" s="8">
        <v>35758</v>
      </c>
      <c r="H35" s="8">
        <v>36429</v>
      </c>
      <c r="I35" s="8">
        <v>35861</v>
      </c>
      <c r="J35" s="8">
        <v>35966</v>
      </c>
      <c r="K35" s="8">
        <v>33960</v>
      </c>
      <c r="L35" s="8">
        <v>30675</v>
      </c>
      <c r="M35" s="8">
        <v>28882</v>
      </c>
      <c r="N35" s="8">
        <v>28484</v>
      </c>
      <c r="O35" s="8">
        <v>26792</v>
      </c>
      <c r="P35" s="8">
        <v>22614</v>
      </c>
      <c r="Q35" s="8">
        <v>17608</v>
      </c>
      <c r="R35" s="8">
        <v>12908</v>
      </c>
      <c r="S35" s="8">
        <v>9680</v>
      </c>
      <c r="T35" s="8">
        <v>10266</v>
      </c>
      <c r="U35" s="7">
        <f t="shared" si="0"/>
        <v>24.550962525168725</v>
      </c>
      <c r="V35" s="7">
        <f t="shared" si="1"/>
        <v>67.940358407211107</v>
      </c>
      <c r="W35" s="7">
        <f t="shared" si="2"/>
        <v>7.5086790676201636</v>
      </c>
      <c r="X35" s="7">
        <f>SUM(I35:L35)/D35*100</f>
        <v>31.187963807316699</v>
      </c>
      <c r="Y35" s="7">
        <f t="shared" si="3"/>
        <v>47.187919440510512</v>
      </c>
    </row>
    <row r="36" spans="1:25" x14ac:dyDescent="0.25">
      <c r="A36" s="57">
        <v>1212</v>
      </c>
      <c r="B36" t="s">
        <v>48</v>
      </c>
      <c r="C36" t="s">
        <v>116</v>
      </c>
      <c r="D36" s="8">
        <v>2106860</v>
      </c>
      <c r="E36" s="8">
        <v>174608</v>
      </c>
      <c r="F36" s="8">
        <v>182479</v>
      </c>
      <c r="G36" s="8">
        <v>182796</v>
      </c>
      <c r="H36" s="8">
        <v>173412</v>
      </c>
      <c r="I36" s="8">
        <v>160187</v>
      </c>
      <c r="J36" s="8">
        <v>168936</v>
      </c>
      <c r="K36" s="8">
        <v>168682</v>
      </c>
      <c r="L36" s="8">
        <v>156941</v>
      </c>
      <c r="M36" s="8">
        <v>148440</v>
      </c>
      <c r="N36" s="8">
        <v>138689</v>
      </c>
      <c r="O36" s="8">
        <v>126376</v>
      </c>
      <c r="P36" s="8">
        <v>108862</v>
      </c>
      <c r="Q36" s="8">
        <v>85411</v>
      </c>
      <c r="R36" s="8">
        <v>61913</v>
      </c>
      <c r="S36" s="8">
        <v>40498</v>
      </c>
      <c r="T36" s="8">
        <v>28630</v>
      </c>
      <c r="U36" s="7">
        <f t="shared" si="0"/>
        <v>25.625005932999816</v>
      </c>
      <c r="V36" s="7">
        <f t="shared" si="1"/>
        <v>68.155264232079972</v>
      </c>
      <c r="W36" s="7">
        <f t="shared" si="2"/>
        <v>6.219729834920213</v>
      </c>
      <c r="X36" s="7">
        <f>SUM(I36:L36)/D36*100</f>
        <v>31.076863199263361</v>
      </c>
      <c r="Y36" s="7">
        <f t="shared" si="3"/>
        <v>46.723809417689928</v>
      </c>
    </row>
    <row r="37" spans="1:25" x14ac:dyDescent="0.25">
      <c r="A37" s="57">
        <v>1213</v>
      </c>
      <c r="B37" t="s">
        <v>48</v>
      </c>
      <c r="C37" t="s">
        <v>117</v>
      </c>
      <c r="D37" s="8">
        <v>1100570</v>
      </c>
      <c r="E37" s="8">
        <v>95667</v>
      </c>
      <c r="F37" s="8">
        <v>94707</v>
      </c>
      <c r="G37" s="8">
        <v>92956</v>
      </c>
      <c r="H37" s="8">
        <v>76094</v>
      </c>
      <c r="I37" s="8">
        <v>76605</v>
      </c>
      <c r="J37" s="8">
        <v>86486</v>
      </c>
      <c r="K37" s="8">
        <v>88289</v>
      </c>
      <c r="L37" s="8">
        <v>84392</v>
      </c>
      <c r="M37" s="8">
        <v>80008</v>
      </c>
      <c r="N37" s="8">
        <v>74683</v>
      </c>
      <c r="O37" s="8">
        <v>67402</v>
      </c>
      <c r="P37" s="8">
        <v>58041</v>
      </c>
      <c r="Q37" s="8">
        <v>47753</v>
      </c>
      <c r="R37" s="8">
        <v>35929</v>
      </c>
      <c r="S37" s="8">
        <v>23716</v>
      </c>
      <c r="T37" s="8">
        <v>17842</v>
      </c>
      <c r="U37" s="7">
        <f t="shared" si="0"/>
        <v>25.743932689424572</v>
      </c>
      <c r="V37" s="7">
        <f t="shared" si="1"/>
        <v>67.215442906857362</v>
      </c>
      <c r="W37" s="7">
        <f t="shared" si="2"/>
        <v>7.0406244037180734</v>
      </c>
      <c r="X37" s="7">
        <f>SUM(I37:L37)/D37*100</f>
        <v>30.508918106072308</v>
      </c>
      <c r="Y37" s="7">
        <f t="shared" si="3"/>
        <v>48.775334469748685</v>
      </c>
    </row>
    <row r="38" spans="1:25" x14ac:dyDescent="0.25">
      <c r="A38" s="57">
        <v>1214</v>
      </c>
      <c r="B38" t="s">
        <v>48</v>
      </c>
      <c r="C38" t="s">
        <v>118</v>
      </c>
      <c r="D38" s="8">
        <v>404325</v>
      </c>
      <c r="E38" s="8">
        <v>50663</v>
      </c>
      <c r="F38" s="8">
        <v>32483</v>
      </c>
      <c r="G38" s="8">
        <v>29976</v>
      </c>
      <c r="H38" s="8">
        <v>37763</v>
      </c>
      <c r="I38" s="8">
        <v>41076</v>
      </c>
      <c r="J38" s="8">
        <v>41500</v>
      </c>
      <c r="K38" s="8">
        <v>35573</v>
      </c>
      <c r="L38" s="8">
        <v>29281</v>
      </c>
      <c r="M38" s="8">
        <v>22941</v>
      </c>
      <c r="N38" s="8">
        <v>21350</v>
      </c>
      <c r="O38" s="8">
        <v>17931</v>
      </c>
      <c r="P38" s="8">
        <v>15116</v>
      </c>
      <c r="Q38" s="8">
        <v>11219</v>
      </c>
      <c r="R38" s="8">
        <v>8031</v>
      </c>
      <c r="S38" s="8">
        <v>4888</v>
      </c>
      <c r="T38" s="8">
        <v>4534</v>
      </c>
      <c r="U38" s="7">
        <f t="shared" si="0"/>
        <v>27.977988004699188</v>
      </c>
      <c r="V38" s="7">
        <f t="shared" si="1"/>
        <v>67.70543498423298</v>
      </c>
      <c r="W38" s="7">
        <f t="shared" si="2"/>
        <v>4.316577011067829</v>
      </c>
      <c r="X38" s="7">
        <f>SUM(I38:L38)/D38*100</f>
        <v>36.463241204476596</v>
      </c>
      <c r="Y38" s="7">
        <f t="shared" si="3"/>
        <v>47.698630136986303</v>
      </c>
    </row>
    <row r="39" spans="1:25" x14ac:dyDescent="0.25">
      <c r="A39" s="57">
        <v>1215</v>
      </c>
      <c r="B39" t="s">
        <v>48</v>
      </c>
      <c r="C39" t="s">
        <v>119</v>
      </c>
      <c r="D39" s="8">
        <v>211870</v>
      </c>
      <c r="E39" s="8">
        <v>20356</v>
      </c>
      <c r="F39" s="8">
        <v>19655</v>
      </c>
      <c r="G39" s="8">
        <v>20707</v>
      </c>
      <c r="H39" s="8">
        <v>21445</v>
      </c>
      <c r="I39" s="8">
        <v>21208</v>
      </c>
      <c r="J39" s="8">
        <v>17177</v>
      </c>
      <c r="K39" s="8">
        <v>13223</v>
      </c>
      <c r="L39" s="8">
        <v>11862</v>
      </c>
      <c r="M39" s="8">
        <v>11655</v>
      </c>
      <c r="N39" s="8">
        <v>11477</v>
      </c>
      <c r="O39" s="8">
        <v>10193</v>
      </c>
      <c r="P39" s="8">
        <v>8819</v>
      </c>
      <c r="Q39" s="8">
        <v>7513</v>
      </c>
      <c r="R39" s="8">
        <v>5912</v>
      </c>
      <c r="S39" s="8">
        <v>4641</v>
      </c>
      <c r="T39" s="8">
        <v>6027</v>
      </c>
      <c r="U39" s="7">
        <f t="shared" si="0"/>
        <v>28.658139425119177</v>
      </c>
      <c r="V39" s="7">
        <f t="shared" si="1"/>
        <v>63.51630716949073</v>
      </c>
      <c r="W39" s="7">
        <f t="shared" si="2"/>
        <v>7.8255534053900986</v>
      </c>
      <c r="X39" s="7">
        <f>SUM(I39:L39)/D39*100</f>
        <v>29.957049133902864</v>
      </c>
      <c r="Y39" s="7">
        <f t="shared" si="3"/>
        <v>57.43988348244806</v>
      </c>
    </row>
    <row r="40" spans="1:25" x14ac:dyDescent="0.25">
      <c r="A40" s="57">
        <v>1216</v>
      </c>
      <c r="B40" t="s">
        <v>48</v>
      </c>
      <c r="C40" t="s">
        <v>120</v>
      </c>
      <c r="D40" s="8">
        <v>58261</v>
      </c>
      <c r="E40" s="8">
        <v>6525</v>
      </c>
      <c r="F40" s="8">
        <v>6971</v>
      </c>
      <c r="G40" s="8">
        <v>5494</v>
      </c>
      <c r="H40" s="8">
        <v>5172</v>
      </c>
      <c r="I40" s="8">
        <v>5106</v>
      </c>
      <c r="J40" s="8">
        <v>5011</v>
      </c>
      <c r="K40" s="8">
        <v>4353</v>
      </c>
      <c r="L40" s="8">
        <v>3776</v>
      </c>
      <c r="M40" s="8">
        <v>3493</v>
      </c>
      <c r="N40" s="8">
        <v>3275</v>
      </c>
      <c r="O40" s="8">
        <v>2642</v>
      </c>
      <c r="P40" s="8">
        <v>2076</v>
      </c>
      <c r="Q40" s="8">
        <v>1545</v>
      </c>
      <c r="R40" s="8">
        <v>1131</v>
      </c>
      <c r="S40" s="8">
        <v>816</v>
      </c>
      <c r="T40" s="8">
        <v>875</v>
      </c>
      <c r="U40" s="7">
        <f t="shared" si="0"/>
        <v>32.594703146186987</v>
      </c>
      <c r="V40" s="7">
        <f t="shared" si="1"/>
        <v>62.561576354679801</v>
      </c>
      <c r="W40" s="7">
        <f t="shared" si="2"/>
        <v>4.8437204991332115</v>
      </c>
      <c r="X40" s="7">
        <f>SUM(I40:L40)/D40*100</f>
        <v>31.317691079796088</v>
      </c>
      <c r="Y40" s="7">
        <f t="shared" si="3"/>
        <v>59.842519685039377</v>
      </c>
    </row>
    <row r="41" spans="1:25" x14ac:dyDescent="0.25">
      <c r="A41" s="57">
        <v>1217</v>
      </c>
      <c r="B41" t="s">
        <v>48</v>
      </c>
      <c r="C41" t="s">
        <v>121</v>
      </c>
      <c r="D41" s="8">
        <v>146539</v>
      </c>
      <c r="E41" s="8">
        <v>13770</v>
      </c>
      <c r="F41" s="8">
        <v>13508</v>
      </c>
      <c r="G41" s="8">
        <v>13783</v>
      </c>
      <c r="H41" s="8">
        <v>13759</v>
      </c>
      <c r="I41" s="8">
        <v>13901</v>
      </c>
      <c r="J41" s="8">
        <v>12022</v>
      </c>
      <c r="K41" s="8">
        <v>10111</v>
      </c>
      <c r="L41" s="8">
        <v>8863</v>
      </c>
      <c r="M41" s="8">
        <v>8338</v>
      </c>
      <c r="N41" s="8">
        <v>7830</v>
      </c>
      <c r="O41" s="8">
        <v>6715</v>
      </c>
      <c r="P41" s="8">
        <v>6105</v>
      </c>
      <c r="Q41" s="8">
        <v>5360</v>
      </c>
      <c r="R41" s="8">
        <v>4700</v>
      </c>
      <c r="S41" s="8">
        <v>3751</v>
      </c>
      <c r="T41" s="8">
        <v>4023</v>
      </c>
      <c r="U41" s="7">
        <f t="shared" si="0"/>
        <v>28.020526958693594</v>
      </c>
      <c r="V41" s="7">
        <f t="shared" si="1"/>
        <v>63.46706337562015</v>
      </c>
      <c r="W41" s="7">
        <f t="shared" si="2"/>
        <v>8.5124096656862669</v>
      </c>
      <c r="X41" s="7">
        <f>SUM(I41:L41)/D41*100</f>
        <v>30.638260121878819</v>
      </c>
      <c r="Y41" s="7">
        <f t="shared" si="3"/>
        <v>57.562040342350862</v>
      </c>
    </row>
    <row r="42" spans="1:25" x14ac:dyDescent="0.25">
      <c r="A42" s="57">
        <v>1218</v>
      </c>
      <c r="B42" t="s">
        <v>48</v>
      </c>
      <c r="C42" t="s">
        <v>122</v>
      </c>
      <c r="D42" s="8">
        <v>708267</v>
      </c>
      <c r="E42" s="8">
        <v>59610</v>
      </c>
      <c r="F42" s="8">
        <v>62930</v>
      </c>
      <c r="G42" s="8">
        <v>61803</v>
      </c>
      <c r="H42" s="8">
        <v>60557</v>
      </c>
      <c r="I42" s="8">
        <v>54833</v>
      </c>
      <c r="J42" s="8">
        <v>54183</v>
      </c>
      <c r="K42" s="8">
        <v>53555</v>
      </c>
      <c r="L42" s="8">
        <v>51300</v>
      </c>
      <c r="M42" s="8">
        <v>49721</v>
      </c>
      <c r="N42" s="8">
        <v>45321</v>
      </c>
      <c r="O42" s="8">
        <v>40179</v>
      </c>
      <c r="P42" s="8">
        <v>35241</v>
      </c>
      <c r="Q42" s="8">
        <v>29662</v>
      </c>
      <c r="R42" s="8">
        <v>22748</v>
      </c>
      <c r="S42" s="8">
        <v>15098</v>
      </c>
      <c r="T42" s="8">
        <v>11526</v>
      </c>
      <c r="U42" s="7">
        <f t="shared" si="0"/>
        <v>26.027331500691126</v>
      </c>
      <c r="V42" s="7">
        <f t="shared" si="1"/>
        <v>67.001850996869834</v>
      </c>
      <c r="W42" s="7">
        <f t="shared" si="2"/>
        <v>6.9708175024390515</v>
      </c>
      <c r="X42" s="7">
        <f>SUM(I42:L42)/D42*100</f>
        <v>30.19638074342021</v>
      </c>
      <c r="Y42" s="7">
        <f t="shared" si="3"/>
        <v>49.249608051383198</v>
      </c>
    </row>
    <row r="43" spans="1:25" x14ac:dyDescent="0.25">
      <c r="A43" s="57">
        <v>1219</v>
      </c>
      <c r="B43" t="s">
        <v>48</v>
      </c>
      <c r="C43" t="s">
        <v>123</v>
      </c>
      <c r="D43" s="8">
        <v>450421</v>
      </c>
      <c r="E43" s="8">
        <v>41051</v>
      </c>
      <c r="F43" s="8">
        <v>49067</v>
      </c>
      <c r="G43" s="8">
        <v>37796</v>
      </c>
      <c r="H43" s="8">
        <v>33497</v>
      </c>
      <c r="I43" s="8">
        <v>32058</v>
      </c>
      <c r="J43" s="8">
        <v>35282</v>
      </c>
      <c r="K43" s="8">
        <v>37542</v>
      </c>
      <c r="L43" s="8">
        <v>33719</v>
      </c>
      <c r="M43" s="8">
        <v>30846</v>
      </c>
      <c r="N43" s="8">
        <v>27879</v>
      </c>
      <c r="O43" s="8">
        <v>24324</v>
      </c>
      <c r="P43" s="8">
        <v>21000</v>
      </c>
      <c r="Q43" s="8">
        <v>17483</v>
      </c>
      <c r="R43" s="8">
        <v>13185</v>
      </c>
      <c r="S43" s="8">
        <v>8979</v>
      </c>
      <c r="T43" s="8">
        <v>6713</v>
      </c>
      <c r="U43" s="7">
        <f t="shared" si="0"/>
        <v>28.398764711236819</v>
      </c>
      <c r="V43" s="7">
        <f t="shared" si="1"/>
        <v>65.190122130184875</v>
      </c>
      <c r="W43" s="7">
        <f t="shared" si="2"/>
        <v>6.4111131585783081</v>
      </c>
      <c r="X43" s="7">
        <f>SUM(I43:L43)/D43*100</f>
        <v>30.771433836344219</v>
      </c>
      <c r="Y43" s="7">
        <f t="shared" si="3"/>
        <v>53.397473010250998</v>
      </c>
    </row>
    <row r="44" spans="1:25" x14ac:dyDescent="0.25">
      <c r="A44" s="57">
        <v>1220</v>
      </c>
      <c r="B44" t="s">
        <v>48</v>
      </c>
      <c r="C44" t="s">
        <v>124</v>
      </c>
      <c r="D44" s="8">
        <v>290671</v>
      </c>
      <c r="E44" s="8">
        <v>31120</v>
      </c>
      <c r="F44" s="8">
        <v>26586</v>
      </c>
      <c r="G44" s="8">
        <v>29291</v>
      </c>
      <c r="H44" s="8">
        <v>29484</v>
      </c>
      <c r="I44" s="8">
        <v>26303</v>
      </c>
      <c r="J44" s="8">
        <v>23550</v>
      </c>
      <c r="K44" s="8">
        <v>21911</v>
      </c>
      <c r="L44" s="8">
        <v>21350</v>
      </c>
      <c r="M44" s="8">
        <v>18805</v>
      </c>
      <c r="N44" s="8">
        <v>16778</v>
      </c>
      <c r="O44" s="8">
        <v>13525</v>
      </c>
      <c r="P44" s="8">
        <v>10878</v>
      </c>
      <c r="Q44" s="8">
        <v>8151</v>
      </c>
      <c r="R44" s="8">
        <v>5882</v>
      </c>
      <c r="S44" s="8">
        <v>3748</v>
      </c>
      <c r="T44" s="8">
        <v>3309</v>
      </c>
      <c r="U44" s="7">
        <f t="shared" si="0"/>
        <v>29.92971435058881</v>
      </c>
      <c r="V44" s="7">
        <f t="shared" si="1"/>
        <v>65.618861186702489</v>
      </c>
      <c r="W44" s="7">
        <f t="shared" si="2"/>
        <v>4.4514244627086983</v>
      </c>
      <c r="X44" s="7">
        <f>SUM(I44:L44)/D44*100</f>
        <v>32.034155454104472</v>
      </c>
      <c r="Y44" s="7">
        <f t="shared" si="3"/>
        <v>52.395208011114903</v>
      </c>
    </row>
    <row r="45" spans="1:25" x14ac:dyDescent="0.25">
      <c r="A45" s="57">
        <v>1221</v>
      </c>
      <c r="B45" t="s">
        <v>48</v>
      </c>
      <c r="C45" t="s">
        <v>125</v>
      </c>
      <c r="D45" s="8">
        <v>290481</v>
      </c>
      <c r="E45" s="8">
        <v>33382</v>
      </c>
      <c r="F45" s="8">
        <v>27754</v>
      </c>
      <c r="G45" s="8">
        <v>28193</v>
      </c>
      <c r="H45" s="8">
        <v>25740</v>
      </c>
      <c r="I45" s="8">
        <v>23317</v>
      </c>
      <c r="J45" s="8">
        <v>25264</v>
      </c>
      <c r="K45" s="8">
        <v>24030</v>
      </c>
      <c r="L45" s="8">
        <v>22150</v>
      </c>
      <c r="M45" s="8">
        <v>18538</v>
      </c>
      <c r="N45" s="8">
        <v>16014</v>
      </c>
      <c r="O45" s="8">
        <v>13472</v>
      </c>
      <c r="P45" s="8">
        <v>11026</v>
      </c>
      <c r="Q45" s="8">
        <v>8912</v>
      </c>
      <c r="R45" s="8">
        <v>6216</v>
      </c>
      <c r="S45" s="8">
        <v>3751</v>
      </c>
      <c r="T45" s="8">
        <v>2722</v>
      </c>
      <c r="U45" s="7">
        <f t="shared" si="0"/>
        <v>30.752097383305621</v>
      </c>
      <c r="V45" s="7">
        <f t="shared" si="1"/>
        <v>64.879630681524787</v>
      </c>
      <c r="W45" s="7">
        <f t="shared" si="2"/>
        <v>4.3682719351695978</v>
      </c>
      <c r="X45" s="7">
        <f>SUM(I45:L45)/D45*100</f>
        <v>32.622099207865574</v>
      </c>
      <c r="Y45" s="7">
        <f t="shared" si="3"/>
        <v>54.131580204071881</v>
      </c>
    </row>
    <row r="46" spans="1:25" x14ac:dyDescent="0.25">
      <c r="A46" s="57">
        <v>1222</v>
      </c>
      <c r="B46" t="s">
        <v>48</v>
      </c>
      <c r="C46" t="s">
        <v>603</v>
      </c>
      <c r="D46" s="8">
        <v>347767</v>
      </c>
      <c r="E46" s="8">
        <v>34765</v>
      </c>
      <c r="F46" s="8">
        <v>33030</v>
      </c>
      <c r="G46" s="8">
        <v>32751</v>
      </c>
      <c r="H46" s="8">
        <v>32088</v>
      </c>
      <c r="I46" s="8">
        <v>29585</v>
      </c>
      <c r="J46" s="8">
        <v>27836</v>
      </c>
      <c r="K46" s="8">
        <v>27713</v>
      </c>
      <c r="L46" s="8">
        <v>26374</v>
      </c>
      <c r="M46" s="8">
        <v>23939</v>
      </c>
      <c r="N46" s="8">
        <v>21511</v>
      </c>
      <c r="O46" s="8">
        <v>18068</v>
      </c>
      <c r="P46" s="8">
        <v>14796</v>
      </c>
      <c r="Q46" s="8">
        <v>11209</v>
      </c>
      <c r="R46" s="8">
        <v>7459</v>
      </c>
      <c r="S46" s="8">
        <v>4147</v>
      </c>
      <c r="T46" s="8">
        <v>2496</v>
      </c>
      <c r="U46" s="7">
        <f t="shared" si="0"/>
        <v>28.911886406703342</v>
      </c>
      <c r="V46" s="7">
        <f t="shared" si="1"/>
        <v>67.033099747819662</v>
      </c>
      <c r="W46" s="7">
        <f t="shared" si="2"/>
        <v>4.0550138454770002</v>
      </c>
      <c r="X46" s="7">
        <f>SUM(I46:L46)/D46*100</f>
        <v>32.063996871468539</v>
      </c>
      <c r="Y46" s="7">
        <f t="shared" si="3"/>
        <v>49.18003251558217</v>
      </c>
    </row>
    <row r="47" spans="1:25" x14ac:dyDescent="0.25">
      <c r="A47" s="57">
        <v>1223</v>
      </c>
      <c r="B47" t="s">
        <v>48</v>
      </c>
      <c r="C47" t="s">
        <v>604</v>
      </c>
      <c r="D47" s="8">
        <v>422072</v>
      </c>
      <c r="E47" s="8">
        <v>42008</v>
      </c>
      <c r="F47" s="8">
        <v>38923</v>
      </c>
      <c r="G47" s="8">
        <v>38143</v>
      </c>
      <c r="H47" s="8">
        <v>36969</v>
      </c>
      <c r="I47" s="8">
        <v>36205</v>
      </c>
      <c r="J47" s="8">
        <v>35276</v>
      </c>
      <c r="K47" s="8">
        <v>34508</v>
      </c>
      <c r="L47" s="8">
        <v>32353</v>
      </c>
      <c r="M47" s="8">
        <v>28262</v>
      </c>
      <c r="N47" s="8">
        <v>25116</v>
      </c>
      <c r="O47" s="8">
        <v>21054</v>
      </c>
      <c r="P47" s="8">
        <v>17179</v>
      </c>
      <c r="Q47" s="8">
        <v>13973</v>
      </c>
      <c r="R47" s="8">
        <v>10362</v>
      </c>
      <c r="S47" s="8">
        <v>6797</v>
      </c>
      <c r="T47" s="8">
        <v>4944</v>
      </c>
      <c r="U47" s="7">
        <f t="shared" si="0"/>
        <v>28.211774294433177</v>
      </c>
      <c r="V47" s="7">
        <f t="shared" si="1"/>
        <v>66.551441460224794</v>
      </c>
      <c r="W47" s="7">
        <f t="shared" si="2"/>
        <v>5.2367842453420268</v>
      </c>
      <c r="X47" s="7">
        <f>SUM(I47:L47)/D47*100</f>
        <v>32.776872192422147</v>
      </c>
      <c r="Y47" s="7">
        <f t="shared" si="3"/>
        <v>50.259705583937055</v>
      </c>
    </row>
    <row r="48" spans="1:25" x14ac:dyDescent="0.25">
      <c r="A48" s="57">
        <v>1224</v>
      </c>
      <c r="B48" t="s">
        <v>48</v>
      </c>
      <c r="C48" t="s">
        <v>126</v>
      </c>
      <c r="D48" s="8">
        <v>164166</v>
      </c>
      <c r="E48" s="8">
        <v>20143</v>
      </c>
      <c r="F48" s="8">
        <v>13504</v>
      </c>
      <c r="G48" s="8">
        <v>14024</v>
      </c>
      <c r="H48" s="8">
        <v>16133</v>
      </c>
      <c r="I48" s="8">
        <v>17615</v>
      </c>
      <c r="J48" s="8">
        <v>15473</v>
      </c>
      <c r="K48" s="8">
        <v>12315</v>
      </c>
      <c r="L48" s="8">
        <v>11462</v>
      </c>
      <c r="M48" s="8">
        <v>9643</v>
      </c>
      <c r="N48" s="8">
        <v>8750</v>
      </c>
      <c r="O48" s="8">
        <v>7127</v>
      </c>
      <c r="P48" s="8">
        <v>5392</v>
      </c>
      <c r="Q48" s="8">
        <v>4208</v>
      </c>
      <c r="R48" s="8">
        <v>3389</v>
      </c>
      <c r="S48" s="8">
        <v>2404</v>
      </c>
      <c r="T48" s="8">
        <v>2584</v>
      </c>
      <c r="U48" s="7">
        <f t="shared" si="0"/>
        <v>29.03829051082441</v>
      </c>
      <c r="V48" s="7">
        <f t="shared" si="1"/>
        <v>65.858947650548842</v>
      </c>
      <c r="W48" s="7">
        <f t="shared" si="2"/>
        <v>5.1027618386267557</v>
      </c>
      <c r="X48" s="7">
        <f>SUM(I48:L48)/D48*100</f>
        <v>34.638719345053175</v>
      </c>
      <c r="Y48" s="7">
        <f t="shared" si="3"/>
        <v>51.839656671414566</v>
      </c>
    </row>
    <row r="49" spans="1:25" x14ac:dyDescent="0.25">
      <c r="A49" s="57">
        <v>1225</v>
      </c>
      <c r="B49" t="s">
        <v>48</v>
      </c>
      <c r="C49" t="s">
        <v>127</v>
      </c>
      <c r="D49" s="8">
        <v>100960</v>
      </c>
      <c r="E49" s="8">
        <v>13139</v>
      </c>
      <c r="F49" s="8">
        <v>9287</v>
      </c>
      <c r="G49" s="8">
        <v>9426</v>
      </c>
      <c r="H49" s="8">
        <v>10223</v>
      </c>
      <c r="I49" s="8">
        <v>10225</v>
      </c>
      <c r="J49" s="8">
        <v>9320</v>
      </c>
      <c r="K49" s="8">
        <v>6993</v>
      </c>
      <c r="L49" s="8">
        <v>6869</v>
      </c>
      <c r="M49" s="8">
        <v>5718</v>
      </c>
      <c r="N49" s="8">
        <v>5092</v>
      </c>
      <c r="O49" s="8">
        <v>3924</v>
      </c>
      <c r="P49" s="8">
        <v>3094</v>
      </c>
      <c r="Q49" s="8">
        <v>2608</v>
      </c>
      <c r="R49" s="8">
        <v>2158</v>
      </c>
      <c r="S49" s="8">
        <v>1604</v>
      </c>
      <c r="T49" s="8">
        <v>1280</v>
      </c>
      <c r="U49" s="7">
        <f t="shared" si="0"/>
        <v>31.549128367670363</v>
      </c>
      <c r="V49" s="7">
        <f t="shared" si="1"/>
        <v>63.456814580031697</v>
      </c>
      <c r="W49" s="7">
        <f t="shared" si="2"/>
        <v>4.9940570522979399</v>
      </c>
      <c r="X49" s="7">
        <f>SUM(I49:L49)/D49*100</f>
        <v>33.08934231378764</v>
      </c>
      <c r="Y49" s="7">
        <f t="shared" si="3"/>
        <v>57.587487903099934</v>
      </c>
    </row>
    <row r="50" spans="1:25" x14ac:dyDescent="0.25">
      <c r="A50" s="57">
        <v>1271</v>
      </c>
      <c r="B50" t="s">
        <v>48</v>
      </c>
      <c r="C50" t="s">
        <v>128</v>
      </c>
      <c r="D50" s="8">
        <v>92774</v>
      </c>
      <c r="E50" s="8">
        <v>7772</v>
      </c>
      <c r="F50" s="8">
        <v>8834</v>
      </c>
      <c r="G50" s="8">
        <v>7622</v>
      </c>
      <c r="H50" s="8">
        <v>7907</v>
      </c>
      <c r="I50" s="8">
        <v>7813</v>
      </c>
      <c r="J50" s="8">
        <v>7679</v>
      </c>
      <c r="K50" s="8">
        <v>7269</v>
      </c>
      <c r="L50" s="8">
        <v>6776</v>
      </c>
      <c r="M50" s="8">
        <v>6499</v>
      </c>
      <c r="N50" s="8">
        <v>6122</v>
      </c>
      <c r="O50" s="8">
        <v>5208</v>
      </c>
      <c r="P50" s="8">
        <v>4217</v>
      </c>
      <c r="Q50" s="8">
        <v>3348</v>
      </c>
      <c r="R50" s="8">
        <v>2610</v>
      </c>
      <c r="S50" s="8">
        <v>1744</v>
      </c>
      <c r="T50" s="8">
        <v>1354</v>
      </c>
      <c r="U50" s="7">
        <f t="shared" si="0"/>
        <v>26.115075344385279</v>
      </c>
      <c r="V50" s="7">
        <f t="shared" si="1"/>
        <v>67.732338801819481</v>
      </c>
      <c r="W50" s="7">
        <f t="shared" si="2"/>
        <v>6.1525858537952445</v>
      </c>
      <c r="X50" s="7">
        <f>SUM(I50:L50)/D50*100</f>
        <v>31.837583805807661</v>
      </c>
      <c r="Y50" s="7">
        <f t="shared" si="3"/>
        <v>47.639963079665172</v>
      </c>
    </row>
    <row r="51" spans="1:25" x14ac:dyDescent="0.25">
      <c r="A51" s="57">
        <v>1272</v>
      </c>
      <c r="B51" t="s">
        <v>48</v>
      </c>
      <c r="C51" t="s">
        <v>129</v>
      </c>
      <c r="D51" s="8">
        <v>190449</v>
      </c>
      <c r="E51" s="8">
        <v>16745</v>
      </c>
      <c r="F51" s="8">
        <v>18898</v>
      </c>
      <c r="G51" s="8">
        <v>16512</v>
      </c>
      <c r="H51" s="8">
        <v>16024</v>
      </c>
      <c r="I51" s="8">
        <v>16067</v>
      </c>
      <c r="J51" s="8">
        <v>16590</v>
      </c>
      <c r="K51" s="8">
        <v>15830</v>
      </c>
      <c r="L51" s="8">
        <v>13983</v>
      </c>
      <c r="M51" s="8">
        <v>12387</v>
      </c>
      <c r="N51" s="8">
        <v>11307</v>
      </c>
      <c r="O51" s="8">
        <v>10164</v>
      </c>
      <c r="P51" s="8">
        <v>8389</v>
      </c>
      <c r="Q51" s="8">
        <v>6785</v>
      </c>
      <c r="R51" s="8">
        <v>4783</v>
      </c>
      <c r="S51" s="8">
        <v>3244</v>
      </c>
      <c r="T51" s="8">
        <v>2741</v>
      </c>
      <c r="U51" s="7">
        <f t="shared" si="0"/>
        <v>27.385284249326592</v>
      </c>
      <c r="V51" s="7">
        <f t="shared" si="1"/>
        <v>66.960708641158533</v>
      </c>
      <c r="W51" s="7">
        <f t="shared" si="2"/>
        <v>5.6540071095148834</v>
      </c>
      <c r="X51" s="7">
        <f>SUM(I51:L51)/D51*100</f>
        <v>32.80143240447574</v>
      </c>
      <c r="Y51" s="7">
        <f t="shared" si="3"/>
        <v>49.341310791524869</v>
      </c>
    </row>
    <row r="52" spans="1:25" x14ac:dyDescent="0.25">
      <c r="A52" s="57">
        <v>1273</v>
      </c>
      <c r="B52" t="s">
        <v>48</v>
      </c>
      <c r="C52" t="s">
        <v>130</v>
      </c>
      <c r="D52" s="8">
        <v>281250</v>
      </c>
      <c r="E52" s="8">
        <v>21700</v>
      </c>
      <c r="F52" s="8">
        <v>22359</v>
      </c>
      <c r="G52" s="8">
        <v>21746</v>
      </c>
      <c r="H52" s="8">
        <v>21760</v>
      </c>
      <c r="I52" s="8">
        <v>23305</v>
      </c>
      <c r="J52" s="8">
        <v>22642</v>
      </c>
      <c r="K52" s="8">
        <v>21862</v>
      </c>
      <c r="L52" s="8">
        <v>19755</v>
      </c>
      <c r="M52" s="8">
        <v>18755</v>
      </c>
      <c r="N52" s="8">
        <v>17447</v>
      </c>
      <c r="O52" s="8">
        <v>16386</v>
      </c>
      <c r="P52" s="8">
        <v>15192</v>
      </c>
      <c r="Q52" s="8">
        <v>13067</v>
      </c>
      <c r="R52" s="8">
        <v>10234</v>
      </c>
      <c r="S52" s="8">
        <v>7294</v>
      </c>
      <c r="T52" s="8">
        <v>7746</v>
      </c>
      <c r="U52" s="7">
        <f t="shared" si="0"/>
        <v>23.397333333333332</v>
      </c>
      <c r="V52" s="7">
        <f t="shared" si="1"/>
        <v>67.616355555555558</v>
      </c>
      <c r="W52" s="7">
        <f t="shared" si="2"/>
        <v>8.986311111111112</v>
      </c>
      <c r="X52" s="7">
        <f>SUM(I52:L52)/D52*100</f>
        <v>31.133866666666666</v>
      </c>
      <c r="Y52" s="7">
        <f t="shared" si="3"/>
        <v>47.893211898764797</v>
      </c>
    </row>
    <row r="53" spans="1:25" x14ac:dyDescent="0.25">
      <c r="A53" s="57">
        <v>1274</v>
      </c>
      <c r="B53" t="s">
        <v>48</v>
      </c>
      <c r="C53" t="s">
        <v>131</v>
      </c>
      <c r="D53" s="8">
        <v>184883</v>
      </c>
      <c r="E53" s="8">
        <v>14655</v>
      </c>
      <c r="F53" s="8">
        <v>16239</v>
      </c>
      <c r="G53" s="8">
        <v>15635</v>
      </c>
      <c r="H53" s="8">
        <v>14796</v>
      </c>
      <c r="I53" s="8">
        <v>13433</v>
      </c>
      <c r="J53" s="8">
        <v>14092</v>
      </c>
      <c r="K53" s="8">
        <v>14770</v>
      </c>
      <c r="L53" s="8">
        <v>13897</v>
      </c>
      <c r="M53" s="8">
        <v>13111</v>
      </c>
      <c r="N53" s="8">
        <v>11836</v>
      </c>
      <c r="O53" s="8">
        <v>10591</v>
      </c>
      <c r="P53" s="8">
        <v>9382</v>
      </c>
      <c r="Q53" s="8">
        <v>8285</v>
      </c>
      <c r="R53" s="8">
        <v>6447</v>
      </c>
      <c r="S53" s="8">
        <v>4255</v>
      </c>
      <c r="T53" s="8">
        <v>3459</v>
      </c>
      <c r="U53" s="7">
        <f t="shared" si="0"/>
        <v>25.166727065225036</v>
      </c>
      <c r="V53" s="7">
        <f t="shared" si="1"/>
        <v>67.173834262749949</v>
      </c>
      <c r="W53" s="7">
        <f t="shared" si="2"/>
        <v>7.6594386720250114</v>
      </c>
      <c r="X53" s="7">
        <f>SUM(I53:L53)/D53*100</f>
        <v>30.393275747364552</v>
      </c>
      <c r="Y53" s="7">
        <f t="shared" si="3"/>
        <v>48.867488505793403</v>
      </c>
    </row>
    <row r="54" spans="1:25" x14ac:dyDescent="0.25">
      <c r="A54" s="57">
        <v>1275</v>
      </c>
      <c r="B54" t="s">
        <v>48</v>
      </c>
      <c r="C54" t="s">
        <v>132</v>
      </c>
      <c r="D54" s="8">
        <v>2510147</v>
      </c>
      <c r="E54" s="8">
        <v>176603</v>
      </c>
      <c r="F54" s="8">
        <v>196175</v>
      </c>
      <c r="G54" s="8">
        <v>191028</v>
      </c>
      <c r="H54" s="8">
        <v>185345</v>
      </c>
      <c r="I54" s="8">
        <v>186138</v>
      </c>
      <c r="J54" s="8">
        <v>192120</v>
      </c>
      <c r="K54" s="8">
        <v>195788</v>
      </c>
      <c r="L54" s="8">
        <v>196179</v>
      </c>
      <c r="M54" s="8">
        <v>192239</v>
      </c>
      <c r="N54" s="8">
        <v>180344</v>
      </c>
      <c r="O54" s="8">
        <v>164812</v>
      </c>
      <c r="P54" s="8">
        <v>141380</v>
      </c>
      <c r="Q54" s="8">
        <v>112906</v>
      </c>
      <c r="R54" s="8">
        <v>84859</v>
      </c>
      <c r="S54" s="8">
        <v>58887</v>
      </c>
      <c r="T54" s="8">
        <v>55344</v>
      </c>
      <c r="U54" s="7">
        <f t="shared" si="0"/>
        <v>22.461074988835314</v>
      </c>
      <c r="V54" s="7">
        <f t="shared" si="1"/>
        <v>69.607517009959977</v>
      </c>
      <c r="W54" s="7">
        <f t="shared" si="2"/>
        <v>7.9314080012047112</v>
      </c>
      <c r="X54" s="7">
        <f>SUM(I54:L54)/D54*100</f>
        <v>30.68445792218543</v>
      </c>
      <c r="Y54" s="7">
        <f t="shared" si="3"/>
        <v>43.662644920506551</v>
      </c>
    </row>
    <row r="55" spans="1:25" x14ac:dyDescent="0.25">
      <c r="A55" s="57">
        <v>1276</v>
      </c>
      <c r="B55" t="s">
        <v>48</v>
      </c>
      <c r="C55" t="s">
        <v>133</v>
      </c>
      <c r="D55" s="8">
        <v>314552</v>
      </c>
      <c r="E55" s="8">
        <v>24552</v>
      </c>
      <c r="F55" s="8">
        <v>28617</v>
      </c>
      <c r="G55" s="8">
        <v>25932</v>
      </c>
      <c r="H55" s="8">
        <v>24234</v>
      </c>
      <c r="I55" s="8">
        <v>22475</v>
      </c>
      <c r="J55" s="8">
        <v>23992</v>
      </c>
      <c r="K55" s="8">
        <v>24992</v>
      </c>
      <c r="L55" s="8">
        <v>23918</v>
      </c>
      <c r="M55" s="8">
        <v>23179</v>
      </c>
      <c r="N55" s="8">
        <v>21222</v>
      </c>
      <c r="O55" s="8">
        <v>19344</v>
      </c>
      <c r="P55" s="8">
        <v>16492</v>
      </c>
      <c r="Q55" s="8">
        <v>13384</v>
      </c>
      <c r="R55" s="8">
        <v>10041</v>
      </c>
      <c r="S55" s="8">
        <v>6760</v>
      </c>
      <c r="T55" s="8">
        <v>5418</v>
      </c>
      <c r="U55" s="7">
        <f t="shared" si="0"/>
        <v>25.147193468806428</v>
      </c>
      <c r="V55" s="7">
        <f t="shared" si="1"/>
        <v>67.789109590783085</v>
      </c>
      <c r="W55" s="7">
        <f t="shared" si="2"/>
        <v>7.0636969404104883</v>
      </c>
      <c r="X55" s="7">
        <f>SUM(I55:L55)/D55*100</f>
        <v>30.321536661664844</v>
      </c>
      <c r="Y55" s="7">
        <f t="shared" si="3"/>
        <v>47.516320252119762</v>
      </c>
    </row>
    <row r="56" spans="1:25" x14ac:dyDescent="0.25">
      <c r="A56" s="57">
        <v>1277</v>
      </c>
      <c r="B56" t="s">
        <v>48</v>
      </c>
      <c r="C56" t="s">
        <v>134</v>
      </c>
      <c r="D56" s="8">
        <v>247535</v>
      </c>
      <c r="E56" s="8">
        <v>22727</v>
      </c>
      <c r="F56" s="8">
        <v>22041</v>
      </c>
      <c r="G56" s="8">
        <v>19731</v>
      </c>
      <c r="H56" s="8">
        <v>19500</v>
      </c>
      <c r="I56" s="8">
        <v>20749</v>
      </c>
      <c r="J56" s="8">
        <v>21683</v>
      </c>
      <c r="K56" s="8">
        <v>22141</v>
      </c>
      <c r="L56" s="8">
        <v>19787</v>
      </c>
      <c r="M56" s="8">
        <v>16243</v>
      </c>
      <c r="N56" s="8">
        <v>14400</v>
      </c>
      <c r="O56" s="8">
        <v>12387</v>
      </c>
      <c r="P56" s="8">
        <v>11350</v>
      </c>
      <c r="Q56" s="8">
        <v>9594</v>
      </c>
      <c r="R56" s="8">
        <v>6881</v>
      </c>
      <c r="S56" s="8">
        <v>4338</v>
      </c>
      <c r="T56" s="8">
        <v>3983</v>
      </c>
      <c r="U56" s="7">
        <f t="shared" si="0"/>
        <v>26.05651726018543</v>
      </c>
      <c r="V56" s="7">
        <f t="shared" si="1"/>
        <v>67.802128991859732</v>
      </c>
      <c r="W56" s="7">
        <f t="shared" si="2"/>
        <v>6.1413537479548346</v>
      </c>
      <c r="X56" s="7">
        <f>SUM(I56:L56)/D56*100</f>
        <v>34.080029086795804</v>
      </c>
      <c r="Y56" s="7">
        <f t="shared" si="3"/>
        <v>47.487994089397858</v>
      </c>
    </row>
    <row r="57" spans="1:25" x14ac:dyDescent="0.25">
      <c r="A57" s="57">
        <v>1278</v>
      </c>
      <c r="B57" t="s">
        <v>48</v>
      </c>
      <c r="C57" t="s">
        <v>135</v>
      </c>
      <c r="D57" s="8">
        <v>149739</v>
      </c>
      <c r="E57" s="8">
        <v>15005</v>
      </c>
      <c r="F57" s="8">
        <v>15275</v>
      </c>
      <c r="G57" s="8">
        <v>14607</v>
      </c>
      <c r="H57" s="8">
        <v>13768</v>
      </c>
      <c r="I57" s="8">
        <v>13369</v>
      </c>
      <c r="J57" s="8">
        <v>12438</v>
      </c>
      <c r="K57" s="8">
        <v>10826</v>
      </c>
      <c r="L57" s="8">
        <v>11117</v>
      </c>
      <c r="M57" s="8">
        <v>9892</v>
      </c>
      <c r="N57" s="8">
        <v>8735</v>
      </c>
      <c r="O57" s="8">
        <v>6938</v>
      </c>
      <c r="P57" s="8">
        <v>5435</v>
      </c>
      <c r="Q57" s="8">
        <v>4488</v>
      </c>
      <c r="R57" s="8">
        <v>3418</v>
      </c>
      <c r="S57" s="8">
        <v>2446</v>
      </c>
      <c r="T57" s="8">
        <v>1982</v>
      </c>
      <c r="U57" s="7">
        <f t="shared" si="0"/>
        <v>29.976826344506108</v>
      </c>
      <c r="V57" s="7">
        <f t="shared" si="1"/>
        <v>64.783389764857517</v>
      </c>
      <c r="W57" s="7">
        <f t="shared" si="2"/>
        <v>5.2397838906363736</v>
      </c>
      <c r="X57" s="7">
        <f>SUM(I57:L57)/D57*100</f>
        <v>31.888819879924402</v>
      </c>
      <c r="Y57" s="7">
        <f t="shared" si="3"/>
        <v>54.360555017215425</v>
      </c>
    </row>
    <row r="58" spans="1:25" x14ac:dyDescent="0.25">
      <c r="A58" s="57">
        <v>1301</v>
      </c>
      <c r="B58" t="s">
        <v>49</v>
      </c>
      <c r="C58" t="s">
        <v>136</v>
      </c>
      <c r="D58" s="8">
        <v>95323</v>
      </c>
      <c r="E58" s="8">
        <v>9842</v>
      </c>
      <c r="F58" s="8">
        <v>7335</v>
      </c>
      <c r="G58" s="8">
        <v>7716</v>
      </c>
      <c r="H58" s="8">
        <v>9488</v>
      </c>
      <c r="I58" s="8">
        <v>8676</v>
      </c>
      <c r="J58" s="8">
        <v>7665</v>
      </c>
      <c r="K58" s="8">
        <v>7328</v>
      </c>
      <c r="L58" s="8">
        <v>7589</v>
      </c>
      <c r="M58" s="8">
        <v>6608</v>
      </c>
      <c r="N58" s="8">
        <v>5889</v>
      </c>
      <c r="O58" s="8">
        <v>4967</v>
      </c>
      <c r="P58" s="8">
        <v>4282</v>
      </c>
      <c r="Q58" s="8">
        <v>3124</v>
      </c>
      <c r="R58" s="8">
        <v>2316</v>
      </c>
      <c r="S58" s="8">
        <v>1311</v>
      </c>
      <c r="T58" s="8">
        <v>1187</v>
      </c>
      <c r="U58" s="7">
        <f t="shared" si="0"/>
        <v>26.114369040000838</v>
      </c>
      <c r="V58" s="7">
        <f t="shared" si="1"/>
        <v>68.835433211292127</v>
      </c>
      <c r="W58" s="7">
        <f t="shared" si="2"/>
        <v>5.0501977487070278</v>
      </c>
      <c r="X58" s="7">
        <f>SUM(I58:L58)/D58*100</f>
        <v>32.791666229556348</v>
      </c>
      <c r="Y58" s="7">
        <f t="shared" si="3"/>
        <v>45.274018532065355</v>
      </c>
    </row>
    <row r="59" spans="1:25" x14ac:dyDescent="0.25">
      <c r="A59" s="57">
        <v>1302</v>
      </c>
      <c r="B59" t="s">
        <v>49</v>
      </c>
      <c r="C59" t="s">
        <v>137</v>
      </c>
      <c r="D59" s="8">
        <v>547763</v>
      </c>
      <c r="E59" s="8">
        <v>48542</v>
      </c>
      <c r="F59" s="8">
        <v>44298</v>
      </c>
      <c r="G59" s="8">
        <v>42322</v>
      </c>
      <c r="H59" s="8">
        <v>45130</v>
      </c>
      <c r="I59" s="8">
        <v>45588</v>
      </c>
      <c r="J59" s="8">
        <v>43844</v>
      </c>
      <c r="K59" s="8">
        <v>40133</v>
      </c>
      <c r="L59" s="8">
        <v>38629</v>
      </c>
      <c r="M59" s="8">
        <v>36877</v>
      </c>
      <c r="N59" s="8">
        <v>35654</v>
      </c>
      <c r="O59" s="8">
        <v>31058</v>
      </c>
      <c r="P59" s="8">
        <v>27875</v>
      </c>
      <c r="Q59" s="8">
        <v>22459</v>
      </c>
      <c r="R59" s="8">
        <v>19166</v>
      </c>
      <c r="S59" s="8">
        <v>13679</v>
      </c>
      <c r="T59" s="8">
        <v>12509</v>
      </c>
      <c r="U59" s="7">
        <f t="shared" si="0"/>
        <v>24.675270144204703</v>
      </c>
      <c r="V59" s="7">
        <f t="shared" si="1"/>
        <v>67.044871595927432</v>
      </c>
      <c r="W59" s="7">
        <f t="shared" si="2"/>
        <v>8.2798582598678632</v>
      </c>
      <c r="X59" s="7">
        <f>SUM(I59:L59)/D59*100</f>
        <v>30.705615384755813</v>
      </c>
      <c r="Y59" s="7">
        <f t="shared" si="3"/>
        <v>49.153839241709257</v>
      </c>
    </row>
    <row r="60" spans="1:25" x14ac:dyDescent="0.25">
      <c r="A60" s="57">
        <v>1303</v>
      </c>
      <c r="B60" t="s">
        <v>49</v>
      </c>
      <c r="C60" t="s">
        <v>138</v>
      </c>
      <c r="D60" s="8">
        <v>420412</v>
      </c>
      <c r="E60" s="8">
        <v>36213</v>
      </c>
      <c r="F60" s="8">
        <v>31637</v>
      </c>
      <c r="G60" s="8">
        <v>33449</v>
      </c>
      <c r="H60" s="8">
        <v>35034</v>
      </c>
      <c r="I60" s="8">
        <v>35734</v>
      </c>
      <c r="J60" s="8">
        <v>35045</v>
      </c>
      <c r="K60" s="8">
        <v>32647</v>
      </c>
      <c r="L60" s="8">
        <v>31062</v>
      </c>
      <c r="M60" s="8">
        <v>28889</v>
      </c>
      <c r="N60" s="8">
        <v>26295</v>
      </c>
      <c r="O60" s="8">
        <v>23042</v>
      </c>
      <c r="P60" s="8">
        <v>19730</v>
      </c>
      <c r="Q60" s="8">
        <v>17577</v>
      </c>
      <c r="R60" s="8">
        <v>14574</v>
      </c>
      <c r="S60" s="8">
        <v>10515</v>
      </c>
      <c r="T60" s="8">
        <v>8969</v>
      </c>
      <c r="U60" s="7">
        <f t="shared" si="0"/>
        <v>24.095173306185362</v>
      </c>
      <c r="V60" s="7">
        <f t="shared" si="1"/>
        <v>67.803725868909552</v>
      </c>
      <c r="W60" s="7">
        <f t="shared" si="2"/>
        <v>8.1011008249050924</v>
      </c>
      <c r="X60" s="7">
        <f>SUM(I60:L60)/D60*100</f>
        <v>31.989572134001882</v>
      </c>
      <c r="Y60" s="7">
        <f t="shared" si="3"/>
        <v>47.484520531125575</v>
      </c>
    </row>
    <row r="61" spans="1:25" x14ac:dyDescent="0.25">
      <c r="A61" s="57">
        <v>1304</v>
      </c>
      <c r="B61" t="s">
        <v>49</v>
      </c>
      <c r="C61" t="s">
        <v>139</v>
      </c>
      <c r="D61" s="8">
        <v>252768</v>
      </c>
      <c r="E61" s="8">
        <v>22482</v>
      </c>
      <c r="F61" s="8">
        <v>21048</v>
      </c>
      <c r="G61" s="8">
        <v>19729</v>
      </c>
      <c r="H61" s="8">
        <v>21290</v>
      </c>
      <c r="I61" s="8">
        <v>21442</v>
      </c>
      <c r="J61" s="8">
        <v>20053</v>
      </c>
      <c r="K61" s="8">
        <v>18400</v>
      </c>
      <c r="L61" s="8">
        <v>18391</v>
      </c>
      <c r="M61" s="8">
        <v>17732</v>
      </c>
      <c r="N61" s="8">
        <v>16691</v>
      </c>
      <c r="O61" s="8">
        <v>15120</v>
      </c>
      <c r="P61" s="8">
        <v>12390</v>
      </c>
      <c r="Q61" s="8">
        <v>9884</v>
      </c>
      <c r="R61" s="8">
        <v>7987</v>
      </c>
      <c r="S61" s="8">
        <v>5500</v>
      </c>
      <c r="T61" s="8">
        <v>4629</v>
      </c>
      <c r="U61" s="7">
        <f t="shared" si="0"/>
        <v>25.026506519812635</v>
      </c>
      <c r="V61" s="7">
        <f t="shared" si="1"/>
        <v>67.806447018609944</v>
      </c>
      <c r="W61" s="7">
        <f t="shared" si="2"/>
        <v>7.1670464615774145</v>
      </c>
      <c r="X61" s="7">
        <f>SUM(I61:L61)/D61*100</f>
        <v>30.971483732117989</v>
      </c>
      <c r="Y61" s="7">
        <f t="shared" si="3"/>
        <v>47.478601809875549</v>
      </c>
    </row>
    <row r="62" spans="1:25" x14ac:dyDescent="0.25">
      <c r="A62" s="57">
        <v>1305</v>
      </c>
      <c r="B62" t="s">
        <v>49</v>
      </c>
      <c r="C62" t="s">
        <v>140</v>
      </c>
      <c r="D62" s="8">
        <v>397235</v>
      </c>
      <c r="E62" s="8">
        <v>32557</v>
      </c>
      <c r="F62" s="8">
        <v>26509</v>
      </c>
      <c r="G62" s="8">
        <v>26957</v>
      </c>
      <c r="H62" s="8">
        <v>30437</v>
      </c>
      <c r="I62" s="8">
        <v>32371</v>
      </c>
      <c r="J62" s="8">
        <v>32689</v>
      </c>
      <c r="K62" s="8">
        <v>30795</v>
      </c>
      <c r="L62" s="8">
        <v>26524</v>
      </c>
      <c r="M62" s="8">
        <v>24908</v>
      </c>
      <c r="N62" s="8">
        <v>24167</v>
      </c>
      <c r="O62" s="8">
        <v>23088</v>
      </c>
      <c r="P62" s="8">
        <v>21977</v>
      </c>
      <c r="Q62" s="8">
        <v>20489</v>
      </c>
      <c r="R62" s="8">
        <v>17334</v>
      </c>
      <c r="S62" s="8">
        <v>13336</v>
      </c>
      <c r="T62" s="8">
        <v>13097</v>
      </c>
      <c r="U62" s="7">
        <f t="shared" si="0"/>
        <v>21.655443251475827</v>
      </c>
      <c r="V62" s="7">
        <f t="shared" si="1"/>
        <v>67.32664543658035</v>
      </c>
      <c r="W62" s="7">
        <f t="shared" si="2"/>
        <v>11.017911311943813</v>
      </c>
      <c r="X62" s="7">
        <f>SUM(I62:L62)/D62*100</f>
        <v>30.807708283509761</v>
      </c>
      <c r="Y62" s="7">
        <f t="shared" si="3"/>
        <v>48.529604217689624</v>
      </c>
    </row>
    <row r="63" spans="1:25" x14ac:dyDescent="0.25">
      <c r="A63" s="57">
        <v>1306</v>
      </c>
      <c r="B63" t="s">
        <v>49</v>
      </c>
      <c r="C63" t="s">
        <v>141</v>
      </c>
      <c r="D63" s="8">
        <v>474990</v>
      </c>
      <c r="E63" s="8">
        <v>41561</v>
      </c>
      <c r="F63" s="8">
        <v>36582</v>
      </c>
      <c r="G63" s="8">
        <v>37245</v>
      </c>
      <c r="H63" s="8">
        <v>40237</v>
      </c>
      <c r="I63" s="8">
        <v>41249</v>
      </c>
      <c r="J63" s="8">
        <v>41681</v>
      </c>
      <c r="K63" s="8">
        <v>39206</v>
      </c>
      <c r="L63" s="8">
        <v>32159</v>
      </c>
      <c r="M63" s="8">
        <v>27478</v>
      </c>
      <c r="N63" s="8">
        <v>26733</v>
      </c>
      <c r="O63" s="8">
        <v>25748</v>
      </c>
      <c r="P63" s="8">
        <v>23222</v>
      </c>
      <c r="Q63" s="8">
        <v>19518</v>
      </c>
      <c r="R63" s="8">
        <v>16472</v>
      </c>
      <c r="S63" s="8">
        <v>12236</v>
      </c>
      <c r="T63" s="8">
        <v>13663</v>
      </c>
      <c r="U63" s="7">
        <f t="shared" si="0"/>
        <v>24.292721952041095</v>
      </c>
      <c r="V63" s="7">
        <f t="shared" si="1"/>
        <v>66.786879723783656</v>
      </c>
      <c r="W63" s="7">
        <f t="shared" si="2"/>
        <v>8.9203983241752454</v>
      </c>
      <c r="X63" s="7">
        <f>SUM(I63:L63)/D63*100</f>
        <v>32.483841765089792</v>
      </c>
      <c r="Y63" s="7">
        <f t="shared" si="3"/>
        <v>49.730007470896602</v>
      </c>
    </row>
    <row r="64" spans="1:25" x14ac:dyDescent="0.25">
      <c r="A64" s="57">
        <v>1307</v>
      </c>
      <c r="B64" t="s">
        <v>49</v>
      </c>
      <c r="C64" t="s">
        <v>142</v>
      </c>
      <c r="D64" s="8">
        <v>574226</v>
      </c>
      <c r="E64" s="8">
        <v>51249</v>
      </c>
      <c r="F64" s="8">
        <v>39144</v>
      </c>
      <c r="G64" s="8">
        <v>40742</v>
      </c>
      <c r="H64" s="8">
        <v>44583</v>
      </c>
      <c r="I64" s="8">
        <v>47753</v>
      </c>
      <c r="J64" s="8">
        <v>47869</v>
      </c>
      <c r="K64" s="8">
        <v>45830</v>
      </c>
      <c r="L64" s="8">
        <v>40511</v>
      </c>
      <c r="M64" s="8">
        <v>37697</v>
      </c>
      <c r="N64" s="8">
        <v>34331</v>
      </c>
      <c r="O64" s="8">
        <v>31235</v>
      </c>
      <c r="P64" s="8">
        <v>28826</v>
      </c>
      <c r="Q64" s="8">
        <v>25603</v>
      </c>
      <c r="R64" s="8">
        <v>21138</v>
      </c>
      <c r="S64" s="8">
        <v>16486</v>
      </c>
      <c r="T64" s="8">
        <v>21229</v>
      </c>
      <c r="U64" s="7">
        <f t="shared" si="0"/>
        <v>22.83682731189462</v>
      </c>
      <c r="V64" s="7">
        <f t="shared" si="1"/>
        <v>66.914072159741991</v>
      </c>
      <c r="W64" s="7">
        <f t="shared" si="2"/>
        <v>10.249100528363398</v>
      </c>
      <c r="X64" s="7">
        <f>SUM(I64:L64)/D64*100</f>
        <v>31.688394464897097</v>
      </c>
      <c r="Y64" s="7">
        <f t="shared" si="3"/>
        <v>49.445395822380924</v>
      </c>
    </row>
    <row r="65" spans="1:25" x14ac:dyDescent="0.25">
      <c r="A65" s="57">
        <v>1308</v>
      </c>
      <c r="B65" t="s">
        <v>49</v>
      </c>
      <c r="C65" t="s">
        <v>143</v>
      </c>
      <c r="D65" s="8">
        <v>410327</v>
      </c>
      <c r="E65" s="8">
        <v>33883</v>
      </c>
      <c r="F65" s="8">
        <v>29901</v>
      </c>
      <c r="G65" s="8">
        <v>29410</v>
      </c>
      <c r="H65" s="8">
        <v>33459</v>
      </c>
      <c r="I65" s="8">
        <v>34445</v>
      </c>
      <c r="J65" s="8">
        <v>33539</v>
      </c>
      <c r="K65" s="8">
        <v>30069</v>
      </c>
      <c r="L65" s="8">
        <v>26213</v>
      </c>
      <c r="M65" s="8">
        <v>26172</v>
      </c>
      <c r="N65" s="8">
        <v>27572</v>
      </c>
      <c r="O65" s="8">
        <v>26438</v>
      </c>
      <c r="P65" s="8">
        <v>22206</v>
      </c>
      <c r="Q65" s="8">
        <v>17731</v>
      </c>
      <c r="R65" s="8">
        <v>15000</v>
      </c>
      <c r="S65" s="8">
        <v>11872</v>
      </c>
      <c r="T65" s="8">
        <v>12417</v>
      </c>
      <c r="U65" s="7">
        <f t="shared" si="0"/>
        <v>22.712129594201695</v>
      </c>
      <c r="V65" s="7">
        <f t="shared" si="1"/>
        <v>67.712824162192604</v>
      </c>
      <c r="W65" s="7">
        <f t="shared" si="2"/>
        <v>9.5750462436057102</v>
      </c>
      <c r="X65" s="7">
        <f>SUM(I65:L65)/D65*100</f>
        <v>30.284626651426787</v>
      </c>
      <c r="Y65" s="7">
        <f t="shared" si="3"/>
        <v>47.682512489022614</v>
      </c>
    </row>
    <row r="66" spans="1:25" x14ac:dyDescent="0.25">
      <c r="A66" s="57">
        <v>1309</v>
      </c>
      <c r="B66" t="s">
        <v>49</v>
      </c>
      <c r="C66" t="s">
        <v>144</v>
      </c>
      <c r="D66" s="8">
        <v>327768</v>
      </c>
      <c r="E66" s="8">
        <v>30363</v>
      </c>
      <c r="F66" s="8">
        <v>26433</v>
      </c>
      <c r="G66" s="8">
        <v>26257</v>
      </c>
      <c r="H66" s="8">
        <v>28592</v>
      </c>
      <c r="I66" s="8">
        <v>28274</v>
      </c>
      <c r="J66" s="8">
        <v>27538</v>
      </c>
      <c r="K66" s="8">
        <v>26046</v>
      </c>
      <c r="L66" s="8">
        <v>24173</v>
      </c>
      <c r="M66" s="8">
        <v>22646</v>
      </c>
      <c r="N66" s="8">
        <v>19998</v>
      </c>
      <c r="O66" s="8">
        <v>16853</v>
      </c>
      <c r="P66" s="8">
        <v>14838</v>
      </c>
      <c r="Q66" s="8">
        <v>12999</v>
      </c>
      <c r="R66" s="8">
        <v>9997</v>
      </c>
      <c r="S66" s="8">
        <v>6687</v>
      </c>
      <c r="T66" s="8">
        <v>6074</v>
      </c>
      <c r="U66" s="7">
        <f t="shared" si="0"/>
        <v>25.338959263869565</v>
      </c>
      <c r="V66" s="7">
        <f t="shared" si="1"/>
        <v>67.717714969124501</v>
      </c>
      <c r="W66" s="7">
        <f t="shared" si="2"/>
        <v>6.9433257670059314</v>
      </c>
      <c r="X66" s="7">
        <f>SUM(I66:L66)/D66*100</f>
        <v>32.349405677186304</v>
      </c>
      <c r="Y66" s="7">
        <f t="shared" si="3"/>
        <v>47.671846348617073</v>
      </c>
    </row>
    <row r="67" spans="1:25" x14ac:dyDescent="0.25">
      <c r="A67" s="57">
        <v>1310</v>
      </c>
      <c r="B67" t="s">
        <v>49</v>
      </c>
      <c r="C67" t="s">
        <v>145</v>
      </c>
      <c r="D67" s="8">
        <v>201979</v>
      </c>
      <c r="E67" s="8">
        <v>19370</v>
      </c>
      <c r="F67" s="8">
        <v>16807</v>
      </c>
      <c r="G67" s="8">
        <v>15376</v>
      </c>
      <c r="H67" s="8">
        <v>16018</v>
      </c>
      <c r="I67" s="8">
        <v>17190</v>
      </c>
      <c r="J67" s="8">
        <v>17651</v>
      </c>
      <c r="K67" s="8">
        <v>15766</v>
      </c>
      <c r="L67" s="8">
        <v>15399</v>
      </c>
      <c r="M67" s="8">
        <v>14403</v>
      </c>
      <c r="N67" s="8">
        <v>13334</v>
      </c>
      <c r="O67" s="8">
        <v>11400</v>
      </c>
      <c r="P67" s="8">
        <v>9361</v>
      </c>
      <c r="Q67" s="8">
        <v>7209</v>
      </c>
      <c r="R67" s="8">
        <v>5385</v>
      </c>
      <c r="S67" s="8">
        <v>3719</v>
      </c>
      <c r="T67" s="8">
        <v>3591</v>
      </c>
      <c r="U67" s="7">
        <f t="shared" ref="U67:U130" si="4">SUM(E67:G67)/D67*100</f>
        <v>25.523940607686939</v>
      </c>
      <c r="V67" s="7">
        <f t="shared" ref="V67:V130" si="5">SUM(H67:Q67)/D67*100</f>
        <v>68.190752503973187</v>
      </c>
      <c r="W67" s="7">
        <f t="shared" ref="W67:W130" si="6">SUM(R67:T67)/D67*100</f>
        <v>6.2853068883398766</v>
      </c>
      <c r="X67" s="7">
        <f>SUM(I67:L67)/D67*100</f>
        <v>32.679635011560606</v>
      </c>
      <c r="Y67" s="7">
        <f t="shared" ref="Y67:Y130" si="7">SUM(E67:G67,R67:T67)/SUM(H67:Q67)*100</f>
        <v>46.647450465036918</v>
      </c>
    </row>
    <row r="68" spans="1:25" x14ac:dyDescent="0.25">
      <c r="A68" s="57">
        <v>1311</v>
      </c>
      <c r="B68" t="s">
        <v>49</v>
      </c>
      <c r="C68" t="s">
        <v>146</v>
      </c>
      <c r="D68" s="8">
        <v>252149</v>
      </c>
      <c r="E68" s="8">
        <v>22561</v>
      </c>
      <c r="F68" s="8">
        <v>21165</v>
      </c>
      <c r="G68" s="8">
        <v>19992</v>
      </c>
      <c r="H68" s="8">
        <v>20870</v>
      </c>
      <c r="I68" s="8">
        <v>20162</v>
      </c>
      <c r="J68" s="8">
        <v>19816</v>
      </c>
      <c r="K68" s="8">
        <v>19967</v>
      </c>
      <c r="L68" s="8">
        <v>20064</v>
      </c>
      <c r="M68" s="8">
        <v>19051</v>
      </c>
      <c r="N68" s="8">
        <v>17434</v>
      </c>
      <c r="O68" s="8">
        <v>14821</v>
      </c>
      <c r="P68" s="8">
        <v>11962</v>
      </c>
      <c r="Q68" s="8">
        <v>9180</v>
      </c>
      <c r="R68" s="8">
        <v>6576</v>
      </c>
      <c r="S68" s="8">
        <v>4361</v>
      </c>
      <c r="T68" s="8">
        <v>4167</v>
      </c>
      <c r="U68" s="7">
        <f t="shared" si="4"/>
        <v>25.269979258295688</v>
      </c>
      <c r="V68" s="7">
        <f t="shared" si="5"/>
        <v>68.739911718864647</v>
      </c>
      <c r="W68" s="7">
        <f t="shared" si="6"/>
        <v>5.9901090228396701</v>
      </c>
      <c r="X68" s="7">
        <f>SUM(I68:L68)/D68*100</f>
        <v>31.730841684876797</v>
      </c>
      <c r="Y68" s="7">
        <f t="shared" si="7"/>
        <v>45.475892388375726</v>
      </c>
    </row>
    <row r="69" spans="1:25" x14ac:dyDescent="0.25">
      <c r="A69" s="57">
        <v>1312</v>
      </c>
      <c r="B69" t="s">
        <v>49</v>
      </c>
      <c r="C69" t="s">
        <v>147</v>
      </c>
      <c r="D69" s="8">
        <v>468987</v>
      </c>
      <c r="E69" s="8">
        <v>43363</v>
      </c>
      <c r="F69" s="8">
        <v>40896</v>
      </c>
      <c r="G69" s="8">
        <v>39663</v>
      </c>
      <c r="H69" s="8">
        <v>41875</v>
      </c>
      <c r="I69" s="8">
        <v>41490</v>
      </c>
      <c r="J69" s="8">
        <v>38675</v>
      </c>
      <c r="K69" s="8">
        <v>37513</v>
      </c>
      <c r="L69" s="8">
        <v>36190</v>
      </c>
      <c r="M69" s="8">
        <v>32679</v>
      </c>
      <c r="N69" s="8">
        <v>29062</v>
      </c>
      <c r="O69" s="8">
        <v>24640</v>
      </c>
      <c r="P69" s="8">
        <v>20584</v>
      </c>
      <c r="Q69" s="8">
        <v>16572</v>
      </c>
      <c r="R69" s="8">
        <v>12016</v>
      </c>
      <c r="S69" s="8">
        <v>7555</v>
      </c>
      <c r="T69" s="8">
        <v>6214</v>
      </c>
      <c r="U69" s="7">
        <f t="shared" si="4"/>
        <v>26.42333369581673</v>
      </c>
      <c r="V69" s="7">
        <f t="shared" si="5"/>
        <v>68.078646103196888</v>
      </c>
      <c r="W69" s="7">
        <f t="shared" si="6"/>
        <v>5.4980202009863808</v>
      </c>
      <c r="X69" s="7">
        <f>SUM(I69:L69)/D69*100</f>
        <v>32.808585312599284</v>
      </c>
      <c r="Y69" s="7">
        <f t="shared" si="7"/>
        <v>46.888937609621649</v>
      </c>
    </row>
    <row r="70" spans="1:25" x14ac:dyDescent="0.25">
      <c r="A70" s="57">
        <v>1371</v>
      </c>
      <c r="B70" t="s">
        <v>49</v>
      </c>
      <c r="C70" t="s">
        <v>148</v>
      </c>
      <c r="D70" s="8">
        <v>975548</v>
      </c>
      <c r="E70" s="8">
        <v>82331</v>
      </c>
      <c r="F70" s="8">
        <v>78844</v>
      </c>
      <c r="G70" s="8">
        <v>73134</v>
      </c>
      <c r="H70" s="8">
        <v>74336</v>
      </c>
      <c r="I70" s="8">
        <v>71758</v>
      </c>
      <c r="J70" s="8">
        <v>74920</v>
      </c>
      <c r="K70" s="8">
        <v>79860</v>
      </c>
      <c r="L70" s="8">
        <v>77690</v>
      </c>
      <c r="M70" s="8">
        <v>70210</v>
      </c>
      <c r="N70" s="8">
        <v>62464</v>
      </c>
      <c r="O70" s="8">
        <v>57211</v>
      </c>
      <c r="P70" s="8">
        <v>52515</v>
      </c>
      <c r="Q70" s="8">
        <v>43598</v>
      </c>
      <c r="R70" s="8">
        <v>33695</v>
      </c>
      <c r="S70" s="8">
        <v>23138</v>
      </c>
      <c r="T70" s="8">
        <v>19844</v>
      </c>
      <c r="U70" s="7">
        <f t="shared" si="4"/>
        <v>24.018192851607505</v>
      </c>
      <c r="V70" s="7">
        <f t="shared" si="5"/>
        <v>68.121917117353519</v>
      </c>
      <c r="W70" s="7">
        <f t="shared" si="6"/>
        <v>7.8598900310389643</v>
      </c>
      <c r="X70" s="7">
        <f>SUM(I70:L70)/D70*100</f>
        <v>31.185344032277246</v>
      </c>
      <c r="Y70" s="7">
        <f t="shared" si="7"/>
        <v>46.795633815956975</v>
      </c>
    </row>
    <row r="71" spans="1:25" x14ac:dyDescent="0.25">
      <c r="A71" s="57">
        <v>1372</v>
      </c>
      <c r="B71" t="s">
        <v>49</v>
      </c>
      <c r="C71" t="s">
        <v>149</v>
      </c>
      <c r="D71" s="8">
        <v>82654</v>
      </c>
      <c r="E71" s="8">
        <v>7439</v>
      </c>
      <c r="F71" s="8">
        <v>7474</v>
      </c>
      <c r="G71" s="8">
        <v>6859</v>
      </c>
      <c r="H71" s="8">
        <v>6626</v>
      </c>
      <c r="I71" s="8">
        <v>6418</v>
      </c>
      <c r="J71" s="8">
        <v>6491</v>
      </c>
      <c r="K71" s="8">
        <v>6667</v>
      </c>
      <c r="L71" s="8">
        <v>6522</v>
      </c>
      <c r="M71" s="8">
        <v>5919</v>
      </c>
      <c r="N71" s="8">
        <v>5410</v>
      </c>
      <c r="O71" s="8">
        <v>4648</v>
      </c>
      <c r="P71" s="8">
        <v>3778</v>
      </c>
      <c r="Q71" s="8">
        <v>3279</v>
      </c>
      <c r="R71" s="8">
        <v>2365</v>
      </c>
      <c r="S71" s="8">
        <v>1522</v>
      </c>
      <c r="T71" s="8">
        <v>1237</v>
      </c>
      <c r="U71" s="7">
        <f t="shared" si="4"/>
        <v>26.341132915527375</v>
      </c>
      <c r="V71" s="7">
        <f t="shared" si="5"/>
        <v>67.459530089287881</v>
      </c>
      <c r="W71" s="7">
        <f t="shared" si="6"/>
        <v>6.1993369951847459</v>
      </c>
      <c r="X71" s="7">
        <f>SUM(I71:L71)/D71*100</f>
        <v>31.574999395068598</v>
      </c>
      <c r="Y71" s="7">
        <f t="shared" si="7"/>
        <v>48.237024283510891</v>
      </c>
    </row>
    <row r="72" spans="1:25" x14ac:dyDescent="0.25">
      <c r="A72" s="57">
        <v>1373</v>
      </c>
      <c r="B72" t="s">
        <v>49</v>
      </c>
      <c r="C72" t="s">
        <v>605</v>
      </c>
      <c r="D72" s="8">
        <v>70664</v>
      </c>
      <c r="E72" s="8">
        <v>5890</v>
      </c>
      <c r="F72" s="8">
        <v>6032</v>
      </c>
      <c r="G72" s="8">
        <v>5272</v>
      </c>
      <c r="H72" s="8">
        <v>5358</v>
      </c>
      <c r="I72" s="8">
        <v>5457</v>
      </c>
      <c r="J72" s="8">
        <v>5429</v>
      </c>
      <c r="K72" s="8">
        <v>5485</v>
      </c>
      <c r="L72" s="8">
        <v>4986</v>
      </c>
      <c r="M72" s="8">
        <v>4727</v>
      </c>
      <c r="N72" s="8">
        <v>4487</v>
      </c>
      <c r="O72" s="8">
        <v>4222</v>
      </c>
      <c r="P72" s="8">
        <v>3813</v>
      </c>
      <c r="Q72" s="8">
        <v>3478</v>
      </c>
      <c r="R72" s="8">
        <v>2572</v>
      </c>
      <c r="S72" s="8">
        <v>1808</v>
      </c>
      <c r="T72" s="8">
        <v>1648</v>
      </c>
      <c r="U72" s="7">
        <f t="shared" si="4"/>
        <v>24.332050266047776</v>
      </c>
      <c r="V72" s="7">
        <f t="shared" si="5"/>
        <v>67.137439148647118</v>
      </c>
      <c r="W72" s="7">
        <f t="shared" si="6"/>
        <v>8.5305105853051053</v>
      </c>
      <c r="X72" s="7">
        <f>SUM(I72:L72)/D72*100</f>
        <v>30.223310313596741</v>
      </c>
      <c r="Y72" s="7">
        <f t="shared" si="7"/>
        <v>48.948189368070487</v>
      </c>
    </row>
    <row r="73" spans="1:25" x14ac:dyDescent="0.25">
      <c r="A73" s="57">
        <v>1374</v>
      </c>
      <c r="B73" t="s">
        <v>49</v>
      </c>
      <c r="C73" t="s">
        <v>150</v>
      </c>
      <c r="D73" s="8">
        <v>61072</v>
      </c>
      <c r="E73" s="8">
        <v>5704</v>
      </c>
      <c r="F73" s="8">
        <v>5560</v>
      </c>
      <c r="G73" s="8">
        <v>4654</v>
      </c>
      <c r="H73" s="8">
        <v>4914</v>
      </c>
      <c r="I73" s="8">
        <v>4886</v>
      </c>
      <c r="J73" s="8">
        <v>4995</v>
      </c>
      <c r="K73" s="8">
        <v>4897</v>
      </c>
      <c r="L73" s="8">
        <v>4550</v>
      </c>
      <c r="M73" s="8">
        <v>4093</v>
      </c>
      <c r="N73" s="8">
        <v>3779</v>
      </c>
      <c r="O73" s="8">
        <v>3356</v>
      </c>
      <c r="P73" s="8">
        <v>2967</v>
      </c>
      <c r="Q73" s="8">
        <v>2458</v>
      </c>
      <c r="R73" s="8">
        <v>1801</v>
      </c>
      <c r="S73" s="8">
        <v>1275</v>
      </c>
      <c r="T73" s="8">
        <v>1183</v>
      </c>
      <c r="U73" s="7">
        <f t="shared" si="4"/>
        <v>26.064317526853547</v>
      </c>
      <c r="V73" s="7">
        <f t="shared" si="5"/>
        <v>66.961946554886026</v>
      </c>
      <c r="W73" s="7">
        <f t="shared" si="6"/>
        <v>6.9737359182604139</v>
      </c>
      <c r="X73" s="7">
        <f>SUM(I73:L73)/D73*100</f>
        <v>31.64789101388525</v>
      </c>
      <c r="Y73" s="7">
        <f t="shared" si="7"/>
        <v>49.338549944981047</v>
      </c>
    </row>
    <row r="74" spans="1:25" x14ac:dyDescent="0.25">
      <c r="A74" s="57">
        <v>1375</v>
      </c>
      <c r="B74" t="s">
        <v>49</v>
      </c>
      <c r="C74" t="s">
        <v>151</v>
      </c>
      <c r="D74" s="8">
        <v>126764</v>
      </c>
      <c r="E74" s="8">
        <v>10998</v>
      </c>
      <c r="F74" s="8">
        <v>10699</v>
      </c>
      <c r="G74" s="8">
        <v>9807</v>
      </c>
      <c r="H74" s="8">
        <v>10205</v>
      </c>
      <c r="I74" s="8">
        <v>9920</v>
      </c>
      <c r="J74" s="8">
        <v>9744</v>
      </c>
      <c r="K74" s="8">
        <v>9965</v>
      </c>
      <c r="L74" s="8">
        <v>9539</v>
      </c>
      <c r="M74" s="8">
        <v>8718</v>
      </c>
      <c r="N74" s="8">
        <v>7949</v>
      </c>
      <c r="O74" s="8">
        <v>7496</v>
      </c>
      <c r="P74" s="8">
        <v>6540</v>
      </c>
      <c r="Q74" s="8">
        <v>5527</v>
      </c>
      <c r="R74" s="8">
        <v>4090</v>
      </c>
      <c r="S74" s="8">
        <v>2746</v>
      </c>
      <c r="T74" s="8">
        <v>2821</v>
      </c>
      <c r="U74" s="7">
        <f t="shared" si="4"/>
        <v>24.852481777160708</v>
      </c>
      <c r="V74" s="7">
        <f t="shared" si="5"/>
        <v>67.529424757817679</v>
      </c>
      <c r="W74" s="7">
        <f t="shared" si="6"/>
        <v>7.618093465021615</v>
      </c>
      <c r="X74" s="7">
        <f>SUM(I74:L74)/D74*100</f>
        <v>30.898362311066236</v>
      </c>
      <c r="Y74" s="7">
        <f t="shared" si="7"/>
        <v>48.08359520110276</v>
      </c>
    </row>
    <row r="75" spans="1:25" x14ac:dyDescent="0.25">
      <c r="A75" s="57">
        <v>1376</v>
      </c>
      <c r="B75" t="s">
        <v>49</v>
      </c>
      <c r="C75" t="s">
        <v>152</v>
      </c>
      <c r="D75" s="8">
        <v>150446</v>
      </c>
      <c r="E75" s="8">
        <v>12701</v>
      </c>
      <c r="F75" s="8">
        <v>12854</v>
      </c>
      <c r="G75" s="8">
        <v>11453</v>
      </c>
      <c r="H75" s="8">
        <v>12332</v>
      </c>
      <c r="I75" s="8">
        <v>11741</v>
      </c>
      <c r="J75" s="8">
        <v>11257</v>
      </c>
      <c r="K75" s="8">
        <v>11596</v>
      </c>
      <c r="L75" s="8">
        <v>10714</v>
      </c>
      <c r="M75" s="8">
        <v>10442</v>
      </c>
      <c r="N75" s="8">
        <v>9882</v>
      </c>
      <c r="O75" s="8">
        <v>9051</v>
      </c>
      <c r="P75" s="8">
        <v>7823</v>
      </c>
      <c r="Q75" s="8">
        <v>6579</v>
      </c>
      <c r="R75" s="8">
        <v>5170</v>
      </c>
      <c r="S75" s="8">
        <v>3484</v>
      </c>
      <c r="T75" s="8">
        <v>3367</v>
      </c>
      <c r="U75" s="7">
        <f t="shared" si="4"/>
        <v>24.59885939140954</v>
      </c>
      <c r="V75" s="7">
        <f t="shared" si="5"/>
        <v>67.410898262499501</v>
      </c>
      <c r="W75" s="7">
        <f t="shared" si="6"/>
        <v>7.9902423460909562</v>
      </c>
      <c r="X75" s="7">
        <f>SUM(I75:L75)/D75*100</f>
        <v>30.115789053879798</v>
      </c>
      <c r="Y75" s="7">
        <f t="shared" si="7"/>
        <v>48.343966001755128</v>
      </c>
    </row>
    <row r="76" spans="1:25" x14ac:dyDescent="0.25">
      <c r="A76" s="57">
        <v>1377</v>
      </c>
      <c r="B76" t="s">
        <v>49</v>
      </c>
      <c r="C76" t="s">
        <v>153</v>
      </c>
      <c r="D76" s="8">
        <v>100516</v>
      </c>
      <c r="E76" s="8">
        <v>8765</v>
      </c>
      <c r="F76" s="8">
        <v>8654</v>
      </c>
      <c r="G76" s="8">
        <v>7663</v>
      </c>
      <c r="H76" s="8">
        <v>7719</v>
      </c>
      <c r="I76" s="8">
        <v>8017</v>
      </c>
      <c r="J76" s="8">
        <v>8346</v>
      </c>
      <c r="K76" s="8">
        <v>8203</v>
      </c>
      <c r="L76" s="8">
        <v>7486</v>
      </c>
      <c r="M76" s="8">
        <v>6836</v>
      </c>
      <c r="N76" s="8">
        <v>6051</v>
      </c>
      <c r="O76" s="8">
        <v>5441</v>
      </c>
      <c r="P76" s="8">
        <v>5077</v>
      </c>
      <c r="Q76" s="8">
        <v>4315</v>
      </c>
      <c r="R76" s="8">
        <v>3238</v>
      </c>
      <c r="S76" s="8">
        <v>2271</v>
      </c>
      <c r="T76" s="8">
        <v>2434</v>
      </c>
      <c r="U76" s="7">
        <f t="shared" si="4"/>
        <v>24.953241275020893</v>
      </c>
      <c r="V76" s="7">
        <f t="shared" si="5"/>
        <v>67.144534203509892</v>
      </c>
      <c r="W76" s="7">
        <f t="shared" si="6"/>
        <v>7.9022245214692184</v>
      </c>
      <c r="X76" s="7">
        <f>SUM(I76:L76)/D76*100</f>
        <v>31.887460702773691</v>
      </c>
      <c r="Y76" s="7">
        <f t="shared" si="7"/>
        <v>48.932450252626275</v>
      </c>
    </row>
    <row r="77" spans="1:25" x14ac:dyDescent="0.25">
      <c r="A77" s="57">
        <v>1401</v>
      </c>
      <c r="B77" t="s">
        <v>50</v>
      </c>
      <c r="C77" t="s">
        <v>154</v>
      </c>
      <c r="D77" s="8">
        <v>356220</v>
      </c>
      <c r="E77" s="8">
        <v>29713</v>
      </c>
      <c r="F77" s="8">
        <v>29514</v>
      </c>
      <c r="G77" s="8">
        <v>29334</v>
      </c>
      <c r="H77" s="8">
        <v>28684</v>
      </c>
      <c r="I77" s="8">
        <v>29217</v>
      </c>
      <c r="J77" s="8">
        <v>28791</v>
      </c>
      <c r="K77" s="8">
        <v>28127</v>
      </c>
      <c r="L77" s="8">
        <v>27410</v>
      </c>
      <c r="M77" s="8">
        <v>25687</v>
      </c>
      <c r="N77" s="8">
        <v>23710</v>
      </c>
      <c r="O77" s="8">
        <v>20843</v>
      </c>
      <c r="P77" s="8">
        <v>17244</v>
      </c>
      <c r="Q77" s="8">
        <v>13759</v>
      </c>
      <c r="R77" s="8">
        <v>11074</v>
      </c>
      <c r="S77" s="8">
        <v>7507</v>
      </c>
      <c r="T77" s="8">
        <v>5606</v>
      </c>
      <c r="U77" s="7">
        <f t="shared" si="4"/>
        <v>24.861321655156924</v>
      </c>
      <c r="V77" s="7">
        <f t="shared" si="5"/>
        <v>68.348773230026381</v>
      </c>
      <c r="W77" s="7">
        <f t="shared" si="6"/>
        <v>6.7899051148166869</v>
      </c>
      <c r="X77" s="7">
        <f>SUM(I77:L77)/D77*100</f>
        <v>31.874964909325698</v>
      </c>
      <c r="Y77" s="7">
        <f t="shared" si="7"/>
        <v>46.308405073273313</v>
      </c>
    </row>
    <row r="78" spans="1:25" x14ac:dyDescent="0.25">
      <c r="A78" s="57">
        <v>1402</v>
      </c>
      <c r="B78" t="s">
        <v>50</v>
      </c>
      <c r="C78" t="s">
        <v>155</v>
      </c>
      <c r="D78" s="8">
        <v>480336</v>
      </c>
      <c r="E78" s="8">
        <v>39746</v>
      </c>
      <c r="F78" s="8">
        <v>40702</v>
      </c>
      <c r="G78" s="8">
        <v>43422</v>
      </c>
      <c r="H78" s="8">
        <v>41758</v>
      </c>
      <c r="I78" s="8">
        <v>40877</v>
      </c>
      <c r="J78" s="8">
        <v>37665</v>
      </c>
      <c r="K78" s="8">
        <v>37489</v>
      </c>
      <c r="L78" s="8">
        <v>38352</v>
      </c>
      <c r="M78" s="8">
        <v>35766</v>
      </c>
      <c r="N78" s="8">
        <v>32162</v>
      </c>
      <c r="O78" s="8">
        <v>27701</v>
      </c>
      <c r="P78" s="8">
        <v>22425</v>
      </c>
      <c r="Q78" s="8">
        <v>17651</v>
      </c>
      <c r="R78" s="8">
        <v>12000</v>
      </c>
      <c r="S78" s="8">
        <v>7626</v>
      </c>
      <c r="T78" s="8">
        <v>4994</v>
      </c>
      <c r="U78" s="7">
        <f t="shared" si="4"/>
        <v>25.788198261217151</v>
      </c>
      <c r="V78" s="7">
        <f t="shared" si="5"/>
        <v>69.08622297724925</v>
      </c>
      <c r="W78" s="7">
        <f t="shared" si="6"/>
        <v>5.1255787615335935</v>
      </c>
      <c r="X78" s="7">
        <f>SUM(I78:L78)/D78*100</f>
        <v>32.140626561407018</v>
      </c>
      <c r="Y78" s="7">
        <f t="shared" si="7"/>
        <v>44.7466595951134</v>
      </c>
    </row>
    <row r="79" spans="1:25" x14ac:dyDescent="0.25">
      <c r="A79" s="57">
        <v>1403</v>
      </c>
      <c r="B79" t="s">
        <v>50</v>
      </c>
      <c r="C79" t="s">
        <v>156</v>
      </c>
      <c r="D79" s="8">
        <v>699324</v>
      </c>
      <c r="E79" s="8">
        <v>57804</v>
      </c>
      <c r="F79" s="8">
        <v>55944</v>
      </c>
      <c r="G79" s="8">
        <v>56860</v>
      </c>
      <c r="H79" s="8">
        <v>58185</v>
      </c>
      <c r="I79" s="8">
        <v>56244</v>
      </c>
      <c r="J79" s="8">
        <v>57877</v>
      </c>
      <c r="K79" s="8">
        <v>54695</v>
      </c>
      <c r="L79" s="8">
        <v>53399</v>
      </c>
      <c r="M79" s="8">
        <v>50819</v>
      </c>
      <c r="N79" s="8">
        <v>49196</v>
      </c>
      <c r="O79" s="8">
        <v>43630</v>
      </c>
      <c r="P79" s="8">
        <v>35351</v>
      </c>
      <c r="Q79" s="8">
        <v>26679</v>
      </c>
      <c r="R79" s="8">
        <v>19404</v>
      </c>
      <c r="S79" s="8">
        <v>13438</v>
      </c>
      <c r="T79" s="8">
        <v>9799</v>
      </c>
      <c r="U79" s="7">
        <f t="shared" si="4"/>
        <v>24.396131120911051</v>
      </c>
      <c r="V79" s="7">
        <f t="shared" si="5"/>
        <v>69.506409046450571</v>
      </c>
      <c r="W79" s="7">
        <f t="shared" si="6"/>
        <v>6.0974598326383767</v>
      </c>
      <c r="X79" s="7">
        <f>SUM(I79:L79)/D79*100</f>
        <v>31.775686234134682</v>
      </c>
      <c r="Y79" s="7">
        <f t="shared" si="7"/>
        <v>43.871624749267092</v>
      </c>
    </row>
    <row r="80" spans="1:25" x14ac:dyDescent="0.25">
      <c r="A80" s="57">
        <v>1404</v>
      </c>
      <c r="B80" t="s">
        <v>50</v>
      </c>
      <c r="C80" t="s">
        <v>157</v>
      </c>
      <c r="D80" s="8">
        <v>427434</v>
      </c>
      <c r="E80" s="8">
        <v>35844</v>
      </c>
      <c r="F80" s="8">
        <v>40385</v>
      </c>
      <c r="G80" s="8">
        <v>41954</v>
      </c>
      <c r="H80" s="8">
        <v>38888</v>
      </c>
      <c r="I80" s="8">
        <v>34758</v>
      </c>
      <c r="J80" s="8">
        <v>32383</v>
      </c>
      <c r="K80" s="8">
        <v>33813</v>
      </c>
      <c r="L80" s="8">
        <v>35278</v>
      </c>
      <c r="M80" s="8">
        <v>33054</v>
      </c>
      <c r="N80" s="8">
        <v>29829</v>
      </c>
      <c r="O80" s="8">
        <v>24177</v>
      </c>
      <c r="P80" s="8">
        <v>18429</v>
      </c>
      <c r="Q80" s="8">
        <v>12822</v>
      </c>
      <c r="R80" s="8">
        <v>8311</v>
      </c>
      <c r="S80" s="8">
        <v>4693</v>
      </c>
      <c r="T80" s="8">
        <v>2816</v>
      </c>
      <c r="U80" s="7">
        <f t="shared" si="4"/>
        <v>27.649414880425983</v>
      </c>
      <c r="V80" s="7">
        <f t="shared" si="5"/>
        <v>68.649428917680851</v>
      </c>
      <c r="W80" s="7">
        <f t="shared" si="6"/>
        <v>3.7011562018931574</v>
      </c>
      <c r="X80" s="7">
        <f>SUM(I80:L80)/D80*100</f>
        <v>31.872055100904468</v>
      </c>
      <c r="Y80" s="7">
        <f t="shared" si="7"/>
        <v>45.667635662217009</v>
      </c>
    </row>
    <row r="81" spans="1:25" x14ac:dyDescent="0.25">
      <c r="A81" s="57">
        <v>1405</v>
      </c>
      <c r="B81" t="s">
        <v>50</v>
      </c>
      <c r="C81" t="s">
        <v>158</v>
      </c>
      <c r="D81" s="8">
        <v>496891</v>
      </c>
      <c r="E81" s="8">
        <v>42136</v>
      </c>
      <c r="F81" s="8">
        <v>43288</v>
      </c>
      <c r="G81" s="8">
        <v>44829</v>
      </c>
      <c r="H81" s="8">
        <v>43424</v>
      </c>
      <c r="I81" s="8">
        <v>44196</v>
      </c>
      <c r="J81" s="8">
        <v>42136</v>
      </c>
      <c r="K81" s="8">
        <v>38943</v>
      </c>
      <c r="L81" s="8">
        <v>37079</v>
      </c>
      <c r="M81" s="8">
        <v>34627</v>
      </c>
      <c r="N81" s="8">
        <v>33622</v>
      </c>
      <c r="O81" s="8">
        <v>30721</v>
      </c>
      <c r="P81" s="8">
        <v>24907</v>
      </c>
      <c r="Q81" s="8">
        <v>16861</v>
      </c>
      <c r="R81" s="8">
        <v>9927</v>
      </c>
      <c r="S81" s="8">
        <v>6090</v>
      </c>
      <c r="T81" s="8">
        <v>4105</v>
      </c>
      <c r="U81" s="7">
        <f t="shared" si="4"/>
        <v>26.213596140803517</v>
      </c>
      <c r="V81" s="7">
        <f t="shared" si="5"/>
        <v>69.736823568951749</v>
      </c>
      <c r="W81" s="7">
        <f t="shared" si="6"/>
        <v>4.0495802902447418</v>
      </c>
      <c r="X81" s="7">
        <f>SUM(I81:L81)/D81*100</f>
        <v>32.673966725096655</v>
      </c>
      <c r="Y81" s="7">
        <f t="shared" si="7"/>
        <v>43.396264530353577</v>
      </c>
    </row>
    <row r="82" spans="1:25" x14ac:dyDescent="0.25">
      <c r="A82" s="57">
        <v>1406</v>
      </c>
      <c r="B82" t="s">
        <v>50</v>
      </c>
      <c r="C82" t="s">
        <v>159</v>
      </c>
      <c r="D82" s="8">
        <v>921673</v>
      </c>
      <c r="E82" s="8">
        <v>79884</v>
      </c>
      <c r="F82" s="8">
        <v>86475</v>
      </c>
      <c r="G82" s="8">
        <v>78753</v>
      </c>
      <c r="H82" s="8">
        <v>73184</v>
      </c>
      <c r="I82" s="8">
        <v>71068</v>
      </c>
      <c r="J82" s="8">
        <v>76157</v>
      </c>
      <c r="K82" s="8">
        <v>76972</v>
      </c>
      <c r="L82" s="8">
        <v>73581</v>
      </c>
      <c r="M82" s="8">
        <v>67063</v>
      </c>
      <c r="N82" s="8">
        <v>61527</v>
      </c>
      <c r="O82" s="8">
        <v>54091</v>
      </c>
      <c r="P82" s="8">
        <v>44194</v>
      </c>
      <c r="Q82" s="8">
        <v>33743</v>
      </c>
      <c r="R82" s="8">
        <v>22569</v>
      </c>
      <c r="S82" s="8">
        <v>13427</v>
      </c>
      <c r="T82" s="8">
        <v>8985</v>
      </c>
      <c r="U82" s="7">
        <f t="shared" si="4"/>
        <v>26.594247634464718</v>
      </c>
      <c r="V82" s="7">
        <f t="shared" si="5"/>
        <v>68.525388071474367</v>
      </c>
      <c r="W82" s="7">
        <f t="shared" si="6"/>
        <v>4.8803642940609082</v>
      </c>
      <c r="X82" s="7">
        <f>SUM(I82:L82)/D82*100</f>
        <v>32.308421750447287</v>
      </c>
      <c r="Y82" s="7">
        <f t="shared" si="7"/>
        <v>45.931315114474806</v>
      </c>
    </row>
    <row r="83" spans="1:25" x14ac:dyDescent="0.25">
      <c r="A83" s="57">
        <v>1407</v>
      </c>
      <c r="B83" t="s">
        <v>50</v>
      </c>
      <c r="C83" t="s">
        <v>160</v>
      </c>
      <c r="D83" s="8">
        <v>609692</v>
      </c>
      <c r="E83" s="8">
        <v>53877</v>
      </c>
      <c r="F83" s="8">
        <v>44901</v>
      </c>
      <c r="G83" s="8">
        <v>54961</v>
      </c>
      <c r="H83" s="8">
        <v>56553</v>
      </c>
      <c r="I83" s="8">
        <v>56702</v>
      </c>
      <c r="J83" s="8">
        <v>52440</v>
      </c>
      <c r="K83" s="8">
        <v>47544</v>
      </c>
      <c r="L83" s="8">
        <v>47612</v>
      </c>
      <c r="M83" s="8">
        <v>45046</v>
      </c>
      <c r="N83" s="8">
        <v>40741</v>
      </c>
      <c r="O83" s="8">
        <v>33528</v>
      </c>
      <c r="P83" s="8">
        <v>25852</v>
      </c>
      <c r="Q83" s="8">
        <v>20301</v>
      </c>
      <c r="R83" s="8">
        <v>14027</v>
      </c>
      <c r="S83" s="8">
        <v>8836</v>
      </c>
      <c r="T83" s="8">
        <v>6771</v>
      </c>
      <c r="U83" s="7">
        <f t="shared" si="4"/>
        <v>25.215846689804032</v>
      </c>
      <c r="V83" s="7">
        <f t="shared" si="5"/>
        <v>69.923666375809418</v>
      </c>
      <c r="W83" s="7">
        <f t="shared" si="6"/>
        <v>4.8604869343865422</v>
      </c>
      <c r="X83" s="7">
        <f>SUM(I83:L83)/D83*100</f>
        <v>33.508394402419583</v>
      </c>
      <c r="Y83" s="7">
        <f t="shared" si="7"/>
        <v>43.013095827303026</v>
      </c>
    </row>
    <row r="84" spans="1:25" x14ac:dyDescent="0.25">
      <c r="A84" s="57">
        <v>1408</v>
      </c>
      <c r="B84" t="s">
        <v>50</v>
      </c>
      <c r="C84" t="s">
        <v>161</v>
      </c>
      <c r="D84" s="8">
        <v>604531</v>
      </c>
      <c r="E84" s="8">
        <v>53999</v>
      </c>
      <c r="F84" s="8">
        <v>57084</v>
      </c>
      <c r="G84" s="8">
        <v>51794</v>
      </c>
      <c r="H84" s="8">
        <v>46713</v>
      </c>
      <c r="I84" s="8">
        <v>40943</v>
      </c>
      <c r="J84" s="8">
        <v>46268</v>
      </c>
      <c r="K84" s="8">
        <v>46932</v>
      </c>
      <c r="L84" s="8">
        <v>44300</v>
      </c>
      <c r="M84" s="8">
        <v>42578</v>
      </c>
      <c r="N84" s="8">
        <v>41708</v>
      </c>
      <c r="O84" s="8">
        <v>37428</v>
      </c>
      <c r="P84" s="8">
        <v>31998</v>
      </c>
      <c r="Q84" s="8">
        <v>25448</v>
      </c>
      <c r="R84" s="8">
        <v>18105</v>
      </c>
      <c r="S84" s="8">
        <v>11290</v>
      </c>
      <c r="T84" s="8">
        <v>7943</v>
      </c>
      <c r="U84" s="7">
        <f t="shared" si="4"/>
        <v>26.942704344359512</v>
      </c>
      <c r="V84" s="7">
        <f t="shared" si="5"/>
        <v>66.880937453993255</v>
      </c>
      <c r="W84" s="7">
        <f t="shared" si="6"/>
        <v>6.1763582016472274</v>
      </c>
      <c r="X84" s="7">
        <f>SUM(I84:L84)/D84*100</f>
        <v>29.51759297703509</v>
      </c>
      <c r="Y84" s="7">
        <f t="shared" si="7"/>
        <v>49.519435293186518</v>
      </c>
    </row>
    <row r="85" spans="1:25" x14ac:dyDescent="0.25">
      <c r="A85" s="57">
        <v>1409</v>
      </c>
      <c r="B85" t="s">
        <v>50</v>
      </c>
      <c r="C85" t="s">
        <v>162</v>
      </c>
      <c r="D85" s="8">
        <v>691826</v>
      </c>
      <c r="E85" s="8">
        <v>60087</v>
      </c>
      <c r="F85" s="8">
        <v>56550</v>
      </c>
      <c r="G85" s="8">
        <v>63742</v>
      </c>
      <c r="H85" s="8">
        <v>63725</v>
      </c>
      <c r="I85" s="8">
        <v>62961</v>
      </c>
      <c r="J85" s="8">
        <v>59182</v>
      </c>
      <c r="K85" s="8">
        <v>54705</v>
      </c>
      <c r="L85" s="8">
        <v>50480</v>
      </c>
      <c r="M85" s="8">
        <v>47915</v>
      </c>
      <c r="N85" s="8">
        <v>43978</v>
      </c>
      <c r="O85" s="8">
        <v>37876</v>
      </c>
      <c r="P85" s="8">
        <v>30692</v>
      </c>
      <c r="Q85" s="8">
        <v>24411</v>
      </c>
      <c r="R85" s="8">
        <v>17285</v>
      </c>
      <c r="S85" s="8">
        <v>10896</v>
      </c>
      <c r="T85" s="8">
        <v>7341</v>
      </c>
      <c r="U85" s="7">
        <f t="shared" si="4"/>
        <v>26.072885378693488</v>
      </c>
      <c r="V85" s="7">
        <f t="shared" si="5"/>
        <v>68.792586575237124</v>
      </c>
      <c r="W85" s="7">
        <f t="shared" si="6"/>
        <v>5.134528046069387</v>
      </c>
      <c r="X85" s="7">
        <f>SUM(I85:L85)/D85*100</f>
        <v>32.859129318643703</v>
      </c>
      <c r="Y85" s="7">
        <f t="shared" si="7"/>
        <v>45.364500709145346</v>
      </c>
    </row>
    <row r="86" spans="1:25" x14ac:dyDescent="0.25">
      <c r="A86" s="57">
        <v>1410</v>
      </c>
      <c r="B86" t="s">
        <v>50</v>
      </c>
      <c r="C86" t="s">
        <v>163</v>
      </c>
      <c r="D86" s="8">
        <v>217407</v>
      </c>
      <c r="E86" s="8">
        <v>17410</v>
      </c>
      <c r="F86" s="8">
        <v>18787</v>
      </c>
      <c r="G86" s="8">
        <v>16859</v>
      </c>
      <c r="H86" s="8">
        <v>15691</v>
      </c>
      <c r="I86" s="8">
        <v>18338</v>
      </c>
      <c r="J86" s="8">
        <v>18423</v>
      </c>
      <c r="K86" s="8">
        <v>17535</v>
      </c>
      <c r="L86" s="8">
        <v>16727</v>
      </c>
      <c r="M86" s="8">
        <v>15664</v>
      </c>
      <c r="N86" s="8">
        <v>14588</v>
      </c>
      <c r="O86" s="8">
        <v>12423</v>
      </c>
      <c r="P86" s="8">
        <v>9993</v>
      </c>
      <c r="Q86" s="8">
        <v>8923</v>
      </c>
      <c r="R86" s="8">
        <v>6895</v>
      </c>
      <c r="S86" s="8">
        <v>4765</v>
      </c>
      <c r="T86" s="8">
        <v>4386</v>
      </c>
      <c r="U86" s="7">
        <f t="shared" si="4"/>
        <v>24.403998031342137</v>
      </c>
      <c r="V86" s="7">
        <f t="shared" si="5"/>
        <v>68.215374849935841</v>
      </c>
      <c r="W86" s="7">
        <f t="shared" si="6"/>
        <v>7.3806271187220291</v>
      </c>
      <c r="X86" s="7">
        <f>SUM(I86:L86)/D86*100</f>
        <v>32.668221354418208</v>
      </c>
      <c r="Y86" s="7">
        <f t="shared" si="7"/>
        <v>46.594518054010315</v>
      </c>
    </row>
    <row r="87" spans="1:25" x14ac:dyDescent="0.25">
      <c r="A87" s="57">
        <v>1471</v>
      </c>
      <c r="B87" t="s">
        <v>50</v>
      </c>
      <c r="C87" t="s">
        <v>164</v>
      </c>
      <c r="D87" s="8">
        <v>1046046</v>
      </c>
      <c r="E87" s="8">
        <v>82883</v>
      </c>
      <c r="F87" s="8">
        <v>95374</v>
      </c>
      <c r="G87" s="8">
        <v>88736</v>
      </c>
      <c r="H87" s="8">
        <v>80469</v>
      </c>
      <c r="I87" s="8">
        <v>77156</v>
      </c>
      <c r="J87" s="8">
        <v>80898</v>
      </c>
      <c r="K87" s="8">
        <v>83208</v>
      </c>
      <c r="L87" s="8">
        <v>82484</v>
      </c>
      <c r="M87" s="8">
        <v>78240</v>
      </c>
      <c r="N87" s="8">
        <v>72757</v>
      </c>
      <c r="O87" s="8">
        <v>66228</v>
      </c>
      <c r="P87" s="8">
        <v>54203</v>
      </c>
      <c r="Q87" s="8">
        <v>42865</v>
      </c>
      <c r="R87" s="8">
        <v>28875</v>
      </c>
      <c r="S87" s="8">
        <v>18893</v>
      </c>
      <c r="T87" s="8">
        <v>12777</v>
      </c>
      <c r="U87" s="7">
        <f t="shared" si="4"/>
        <v>25.52402093215786</v>
      </c>
      <c r="V87" s="7">
        <f t="shared" si="5"/>
        <v>68.687992688658056</v>
      </c>
      <c r="W87" s="7">
        <f t="shared" si="6"/>
        <v>5.7879863791840895</v>
      </c>
      <c r="X87" s="7">
        <f>SUM(I87:L87)/D87*100</f>
        <v>30.949499352800931</v>
      </c>
      <c r="Y87" s="7">
        <f t="shared" si="7"/>
        <v>45.585852906300275</v>
      </c>
    </row>
    <row r="88" spans="1:25" x14ac:dyDescent="0.25">
      <c r="A88" s="57">
        <v>1473</v>
      </c>
      <c r="B88" t="s">
        <v>50</v>
      </c>
      <c r="C88" t="s">
        <v>165</v>
      </c>
      <c r="D88" s="8">
        <v>341006</v>
      </c>
      <c r="E88" s="8">
        <v>27405</v>
      </c>
      <c r="F88" s="8">
        <v>33189</v>
      </c>
      <c r="G88" s="8">
        <v>30744</v>
      </c>
      <c r="H88" s="8">
        <v>27877</v>
      </c>
      <c r="I88" s="8">
        <v>26897</v>
      </c>
      <c r="J88" s="8">
        <v>27468</v>
      </c>
      <c r="K88" s="8">
        <v>27720</v>
      </c>
      <c r="L88" s="8">
        <v>26518</v>
      </c>
      <c r="M88" s="8">
        <v>25114</v>
      </c>
      <c r="N88" s="8">
        <v>23030</v>
      </c>
      <c r="O88" s="8">
        <v>19672</v>
      </c>
      <c r="P88" s="8">
        <v>15104</v>
      </c>
      <c r="Q88" s="8">
        <v>12049</v>
      </c>
      <c r="R88" s="8">
        <v>8631</v>
      </c>
      <c r="S88" s="8">
        <v>5636</v>
      </c>
      <c r="T88" s="8">
        <v>3952</v>
      </c>
      <c r="U88" s="7">
        <f t="shared" si="4"/>
        <v>26.784865955437738</v>
      </c>
      <c r="V88" s="7">
        <f t="shared" si="5"/>
        <v>67.872412802120792</v>
      </c>
      <c r="W88" s="7">
        <f t="shared" si="6"/>
        <v>5.3427212424414821</v>
      </c>
      <c r="X88" s="7">
        <f>SUM(I88:L88)/D88*100</f>
        <v>31.847826724456464</v>
      </c>
      <c r="Y88" s="7">
        <f t="shared" si="7"/>
        <v>47.335266084536983</v>
      </c>
    </row>
    <row r="89" spans="1:25" x14ac:dyDescent="0.25">
      <c r="A89" s="57">
        <v>1501</v>
      </c>
      <c r="B89" t="s">
        <v>51</v>
      </c>
      <c r="C89" t="s">
        <v>166</v>
      </c>
      <c r="D89" s="8">
        <v>259640</v>
      </c>
      <c r="E89" s="8">
        <v>19956</v>
      </c>
      <c r="F89" s="8">
        <v>19753</v>
      </c>
      <c r="G89" s="8">
        <v>20017</v>
      </c>
      <c r="H89" s="8">
        <v>19142</v>
      </c>
      <c r="I89" s="8">
        <v>18613</v>
      </c>
      <c r="J89" s="8">
        <v>18847</v>
      </c>
      <c r="K89" s="8">
        <v>18946</v>
      </c>
      <c r="L89" s="8">
        <v>18910</v>
      </c>
      <c r="M89" s="8">
        <v>18563</v>
      </c>
      <c r="N89" s="8">
        <v>18336</v>
      </c>
      <c r="O89" s="8">
        <v>17018</v>
      </c>
      <c r="P89" s="8">
        <v>15136</v>
      </c>
      <c r="Q89" s="8">
        <v>12784</v>
      </c>
      <c r="R89" s="8">
        <v>9991</v>
      </c>
      <c r="S89" s="8">
        <v>7079</v>
      </c>
      <c r="T89" s="8">
        <v>6549</v>
      </c>
      <c r="U89" s="7">
        <f t="shared" si="4"/>
        <v>23.003389308272993</v>
      </c>
      <c r="V89" s="7">
        <f t="shared" si="5"/>
        <v>67.899784316746263</v>
      </c>
      <c r="W89" s="7">
        <f t="shared" si="6"/>
        <v>9.0968263749807434</v>
      </c>
      <c r="X89" s="7">
        <f>SUM(I89:L89)/D89*100</f>
        <v>29.007857032814666</v>
      </c>
      <c r="Y89" s="7">
        <f t="shared" si="7"/>
        <v>47.275872826795997</v>
      </c>
    </row>
    <row r="90" spans="1:25" x14ac:dyDescent="0.25">
      <c r="A90" s="57">
        <v>1502</v>
      </c>
      <c r="B90" t="s">
        <v>51</v>
      </c>
      <c r="C90" t="s">
        <v>167</v>
      </c>
      <c r="D90" s="8">
        <v>383224</v>
      </c>
      <c r="E90" s="8">
        <v>32365</v>
      </c>
      <c r="F90" s="8">
        <v>31342</v>
      </c>
      <c r="G90" s="8">
        <v>32041</v>
      </c>
      <c r="H90" s="8">
        <v>31775</v>
      </c>
      <c r="I90" s="8">
        <v>31392</v>
      </c>
      <c r="J90" s="8">
        <v>31124</v>
      </c>
      <c r="K90" s="8">
        <v>30141</v>
      </c>
      <c r="L90" s="8">
        <v>29591</v>
      </c>
      <c r="M90" s="8">
        <v>28079</v>
      </c>
      <c r="N90" s="8">
        <v>26286</v>
      </c>
      <c r="O90" s="8">
        <v>23167</v>
      </c>
      <c r="P90" s="8">
        <v>18884</v>
      </c>
      <c r="Q90" s="8">
        <v>14768</v>
      </c>
      <c r="R90" s="8">
        <v>10541</v>
      </c>
      <c r="S90" s="8">
        <v>6860</v>
      </c>
      <c r="T90" s="8">
        <v>4868</v>
      </c>
      <c r="U90" s="7">
        <f t="shared" si="4"/>
        <v>24.984865248523057</v>
      </c>
      <c r="V90" s="7">
        <f t="shared" si="5"/>
        <v>69.204173016303784</v>
      </c>
      <c r="W90" s="7">
        <f t="shared" si="6"/>
        <v>5.8109617351731622</v>
      </c>
      <c r="X90" s="7">
        <f>SUM(I90:L90)/D90*100</f>
        <v>31.89988100954011</v>
      </c>
      <c r="Y90" s="7">
        <f t="shared" si="7"/>
        <v>44.499956637645312</v>
      </c>
    </row>
    <row r="91" spans="1:25" x14ac:dyDescent="0.25">
      <c r="A91" s="57">
        <v>1503</v>
      </c>
      <c r="B91" t="s">
        <v>51</v>
      </c>
      <c r="C91" t="s">
        <v>168</v>
      </c>
      <c r="D91" s="8">
        <v>314735</v>
      </c>
      <c r="E91" s="8">
        <v>30407</v>
      </c>
      <c r="F91" s="8">
        <v>29602</v>
      </c>
      <c r="G91" s="8">
        <v>28388</v>
      </c>
      <c r="H91" s="8">
        <v>25884</v>
      </c>
      <c r="I91" s="8">
        <v>24664</v>
      </c>
      <c r="J91" s="8">
        <v>24737</v>
      </c>
      <c r="K91" s="8">
        <v>24088</v>
      </c>
      <c r="L91" s="8">
        <v>23572</v>
      </c>
      <c r="M91" s="8">
        <v>22294</v>
      </c>
      <c r="N91" s="8">
        <v>20643</v>
      </c>
      <c r="O91" s="8">
        <v>18080</v>
      </c>
      <c r="P91" s="8">
        <v>14544</v>
      </c>
      <c r="Q91" s="8">
        <v>11184</v>
      </c>
      <c r="R91" s="8">
        <v>7854</v>
      </c>
      <c r="S91" s="8">
        <v>5105</v>
      </c>
      <c r="T91" s="8">
        <v>3689</v>
      </c>
      <c r="U91" s="7">
        <f t="shared" si="4"/>
        <v>28.086167728406437</v>
      </c>
      <c r="V91" s="7">
        <f t="shared" si="5"/>
        <v>66.624302985050917</v>
      </c>
      <c r="W91" s="7">
        <f t="shared" si="6"/>
        <v>5.2895292865426473</v>
      </c>
      <c r="X91" s="7">
        <f>SUM(I91:L91)/D91*100</f>
        <v>30.838959759797923</v>
      </c>
      <c r="Y91" s="7">
        <f t="shared" si="7"/>
        <v>50.095378892651055</v>
      </c>
    </row>
    <row r="92" spans="1:25" x14ac:dyDescent="0.25">
      <c r="A92" s="57">
        <v>1504</v>
      </c>
      <c r="B92" t="s">
        <v>51</v>
      </c>
      <c r="C92" t="s">
        <v>169</v>
      </c>
      <c r="D92" s="8">
        <v>323914</v>
      </c>
      <c r="E92" s="8">
        <v>27710</v>
      </c>
      <c r="F92" s="8">
        <v>26820</v>
      </c>
      <c r="G92" s="8">
        <v>26915</v>
      </c>
      <c r="H92" s="8">
        <v>26496</v>
      </c>
      <c r="I92" s="8">
        <v>26062</v>
      </c>
      <c r="J92" s="8">
        <v>26056</v>
      </c>
      <c r="K92" s="8">
        <v>25513</v>
      </c>
      <c r="L92" s="8">
        <v>24962</v>
      </c>
      <c r="M92" s="8">
        <v>23650</v>
      </c>
      <c r="N92" s="8">
        <v>22209</v>
      </c>
      <c r="O92" s="8">
        <v>19598</v>
      </c>
      <c r="P92" s="8">
        <v>16088</v>
      </c>
      <c r="Q92" s="8">
        <v>12638</v>
      </c>
      <c r="R92" s="8">
        <v>8992</v>
      </c>
      <c r="S92" s="8">
        <v>5848</v>
      </c>
      <c r="T92" s="8">
        <v>4357</v>
      </c>
      <c r="U92" s="7">
        <f t="shared" si="4"/>
        <v>25.14401970893509</v>
      </c>
      <c r="V92" s="7">
        <f t="shared" si="5"/>
        <v>68.929407188327758</v>
      </c>
      <c r="W92" s="7">
        <f t="shared" si="6"/>
        <v>5.9265731027371462</v>
      </c>
      <c r="X92" s="7">
        <f>SUM(I92:L92)/D92*100</f>
        <v>31.672913180659062</v>
      </c>
      <c r="Y92" s="7">
        <f t="shared" si="7"/>
        <v>45.075961159482603</v>
      </c>
    </row>
    <row r="93" spans="1:25" x14ac:dyDescent="0.25">
      <c r="A93" s="57">
        <v>1505</v>
      </c>
      <c r="B93" t="s">
        <v>51</v>
      </c>
      <c r="C93" t="s">
        <v>170</v>
      </c>
      <c r="D93" s="8">
        <v>435795</v>
      </c>
      <c r="E93" s="8">
        <v>36280</v>
      </c>
      <c r="F93" s="8">
        <v>35410</v>
      </c>
      <c r="G93" s="8">
        <v>35621</v>
      </c>
      <c r="H93" s="8">
        <v>34361</v>
      </c>
      <c r="I93" s="8">
        <v>33995</v>
      </c>
      <c r="J93" s="8">
        <v>34678</v>
      </c>
      <c r="K93" s="8">
        <v>34572</v>
      </c>
      <c r="L93" s="8">
        <v>34832</v>
      </c>
      <c r="M93" s="8">
        <v>33360</v>
      </c>
      <c r="N93" s="8">
        <v>31474</v>
      </c>
      <c r="O93" s="8">
        <v>27750</v>
      </c>
      <c r="P93" s="8">
        <v>22350</v>
      </c>
      <c r="Q93" s="8">
        <v>17180</v>
      </c>
      <c r="R93" s="8">
        <v>11699</v>
      </c>
      <c r="S93" s="8">
        <v>7349</v>
      </c>
      <c r="T93" s="8">
        <v>4884</v>
      </c>
      <c r="U93" s="7">
        <f t="shared" si="4"/>
        <v>24.624192567606329</v>
      </c>
      <c r="V93" s="7">
        <f t="shared" si="5"/>
        <v>69.884234559827433</v>
      </c>
      <c r="W93" s="7">
        <f t="shared" si="6"/>
        <v>5.4915728725662296</v>
      </c>
      <c r="X93" s="7">
        <f>SUM(I93:L93)/D93*100</f>
        <v>31.683933959774663</v>
      </c>
      <c r="Y93" s="7">
        <f t="shared" si="7"/>
        <v>43.093790223016107</v>
      </c>
    </row>
    <row r="94" spans="1:25" x14ac:dyDescent="0.25">
      <c r="A94" s="57">
        <v>1506</v>
      </c>
      <c r="B94" t="s">
        <v>51</v>
      </c>
      <c r="C94" t="s">
        <v>171</v>
      </c>
      <c r="D94" s="8">
        <v>243255</v>
      </c>
      <c r="E94" s="8">
        <v>20469</v>
      </c>
      <c r="F94" s="8">
        <v>20056</v>
      </c>
      <c r="G94" s="8">
        <v>19569</v>
      </c>
      <c r="H94" s="8">
        <v>18561</v>
      </c>
      <c r="I94" s="8">
        <v>18248</v>
      </c>
      <c r="J94" s="8">
        <v>18313</v>
      </c>
      <c r="K94" s="8">
        <v>18036</v>
      </c>
      <c r="L94" s="8">
        <v>18383</v>
      </c>
      <c r="M94" s="8">
        <v>17945</v>
      </c>
      <c r="N94" s="8">
        <v>17218</v>
      </c>
      <c r="O94" s="8">
        <v>15489</v>
      </c>
      <c r="P94" s="8">
        <v>12797</v>
      </c>
      <c r="Q94" s="8">
        <v>10171</v>
      </c>
      <c r="R94" s="8">
        <v>7385</v>
      </c>
      <c r="S94" s="8">
        <v>5144</v>
      </c>
      <c r="T94" s="8">
        <v>5471</v>
      </c>
      <c r="U94" s="7">
        <f t="shared" si="4"/>
        <v>24.704117078785636</v>
      </c>
      <c r="V94" s="7">
        <f t="shared" si="5"/>
        <v>67.896240570594642</v>
      </c>
      <c r="W94" s="7">
        <f t="shared" si="6"/>
        <v>7.39964235061972</v>
      </c>
      <c r="X94" s="7">
        <f>SUM(I94:L94)/D94*100</f>
        <v>30.001438819345953</v>
      </c>
      <c r="Y94" s="7">
        <f t="shared" si="7"/>
        <v>47.283559678132249</v>
      </c>
    </row>
    <row r="95" spans="1:25" x14ac:dyDescent="0.25">
      <c r="A95" s="57">
        <v>1507</v>
      </c>
      <c r="B95" t="s">
        <v>51</v>
      </c>
      <c r="C95" t="s">
        <v>172</v>
      </c>
      <c r="D95" s="8">
        <v>344131</v>
      </c>
      <c r="E95" s="8">
        <v>30702</v>
      </c>
      <c r="F95" s="8">
        <v>29151</v>
      </c>
      <c r="G95" s="8">
        <v>28154</v>
      </c>
      <c r="H95" s="8">
        <v>27217</v>
      </c>
      <c r="I95" s="8">
        <v>26978</v>
      </c>
      <c r="J95" s="8">
        <v>28120</v>
      </c>
      <c r="K95" s="8">
        <v>29306</v>
      </c>
      <c r="L95" s="8">
        <v>27919</v>
      </c>
      <c r="M95" s="8">
        <v>24988</v>
      </c>
      <c r="N95" s="8">
        <v>22467</v>
      </c>
      <c r="O95" s="8">
        <v>19430</v>
      </c>
      <c r="P95" s="8">
        <v>16246</v>
      </c>
      <c r="Q95" s="8">
        <v>12802</v>
      </c>
      <c r="R95" s="8">
        <v>9530</v>
      </c>
      <c r="S95" s="8">
        <v>6261</v>
      </c>
      <c r="T95" s="8">
        <v>4860</v>
      </c>
      <c r="U95" s="7">
        <f t="shared" si="4"/>
        <v>25.573691414025472</v>
      </c>
      <c r="V95" s="7">
        <f t="shared" si="5"/>
        <v>68.425396142747957</v>
      </c>
      <c r="W95" s="7">
        <f t="shared" si="6"/>
        <v>6.0009124432265626</v>
      </c>
      <c r="X95" s="7">
        <f>SUM(I95:L95)/D95*100</f>
        <v>32.639605266599062</v>
      </c>
      <c r="Y95" s="7">
        <f t="shared" si="7"/>
        <v>46.144568591728138</v>
      </c>
    </row>
    <row r="96" spans="1:25" x14ac:dyDescent="0.25">
      <c r="A96" s="57">
        <v>1508</v>
      </c>
      <c r="B96" t="s">
        <v>51</v>
      </c>
      <c r="C96" t="s">
        <v>173</v>
      </c>
      <c r="D96" s="8">
        <v>363894</v>
      </c>
      <c r="E96" s="8">
        <v>32613</v>
      </c>
      <c r="F96" s="8">
        <v>31900</v>
      </c>
      <c r="G96" s="8">
        <v>31205</v>
      </c>
      <c r="H96" s="8">
        <v>29018</v>
      </c>
      <c r="I96" s="8">
        <v>28026</v>
      </c>
      <c r="J96" s="8">
        <v>28285</v>
      </c>
      <c r="K96" s="8">
        <v>27940</v>
      </c>
      <c r="L96" s="8">
        <v>27803</v>
      </c>
      <c r="M96" s="8">
        <v>26627</v>
      </c>
      <c r="N96" s="8">
        <v>25142</v>
      </c>
      <c r="O96" s="8">
        <v>22128</v>
      </c>
      <c r="P96" s="8">
        <v>17924</v>
      </c>
      <c r="Q96" s="8">
        <v>13958</v>
      </c>
      <c r="R96" s="8">
        <v>9907</v>
      </c>
      <c r="S96" s="8">
        <v>6466</v>
      </c>
      <c r="T96" s="8">
        <v>4952</v>
      </c>
      <c r="U96" s="7">
        <f t="shared" si="4"/>
        <v>26.30381374795957</v>
      </c>
      <c r="V96" s="7">
        <f t="shared" si="5"/>
        <v>67.835963220058588</v>
      </c>
      <c r="W96" s="7">
        <f t="shared" si="6"/>
        <v>5.8602230319818407</v>
      </c>
      <c r="X96" s="7">
        <f>SUM(I96:L96)/D96*100</f>
        <v>30.79303313602313</v>
      </c>
      <c r="Y96" s="7">
        <f t="shared" si="7"/>
        <v>47.41443218783801</v>
      </c>
    </row>
    <row r="97" spans="1:25" x14ac:dyDescent="0.25">
      <c r="A97" s="57">
        <v>1509</v>
      </c>
      <c r="B97" t="s">
        <v>51</v>
      </c>
      <c r="C97" t="s">
        <v>174</v>
      </c>
      <c r="D97" s="8">
        <v>390852</v>
      </c>
      <c r="E97" s="8">
        <v>33268</v>
      </c>
      <c r="F97" s="8">
        <v>32206</v>
      </c>
      <c r="G97" s="8">
        <v>32762</v>
      </c>
      <c r="H97" s="8">
        <v>32612</v>
      </c>
      <c r="I97" s="8">
        <v>32314</v>
      </c>
      <c r="J97" s="8">
        <v>31973</v>
      </c>
      <c r="K97" s="8">
        <v>30969</v>
      </c>
      <c r="L97" s="8">
        <v>30653</v>
      </c>
      <c r="M97" s="8">
        <v>28947</v>
      </c>
      <c r="N97" s="8">
        <v>26409</v>
      </c>
      <c r="O97" s="8">
        <v>22959</v>
      </c>
      <c r="P97" s="8">
        <v>18442</v>
      </c>
      <c r="Q97" s="8">
        <v>14335</v>
      </c>
      <c r="R97" s="8">
        <v>10425</v>
      </c>
      <c r="S97" s="8">
        <v>6926</v>
      </c>
      <c r="T97" s="8">
        <v>5652</v>
      </c>
      <c r="U97" s="7">
        <f t="shared" si="4"/>
        <v>25.133810240193217</v>
      </c>
      <c r="V97" s="7">
        <f t="shared" si="5"/>
        <v>68.980841853182284</v>
      </c>
      <c r="W97" s="7">
        <f t="shared" si="6"/>
        <v>5.885347906624502</v>
      </c>
      <c r="X97" s="7">
        <f>SUM(I97:L97)/D97*100</f>
        <v>32.213983809728489</v>
      </c>
      <c r="Y97" s="7">
        <f t="shared" si="7"/>
        <v>44.967787161598288</v>
      </c>
    </row>
    <row r="98" spans="1:25" x14ac:dyDescent="0.25">
      <c r="A98" s="57">
        <v>1571</v>
      </c>
      <c r="B98" t="s">
        <v>51</v>
      </c>
      <c r="C98" t="s">
        <v>175</v>
      </c>
      <c r="D98" s="8">
        <v>649260</v>
      </c>
      <c r="E98" s="8">
        <v>51426</v>
      </c>
      <c r="F98" s="8">
        <v>49848</v>
      </c>
      <c r="G98" s="8">
        <v>48651</v>
      </c>
      <c r="H98" s="8">
        <v>50645</v>
      </c>
      <c r="I98" s="8">
        <v>51274</v>
      </c>
      <c r="J98" s="8">
        <v>51423</v>
      </c>
      <c r="K98" s="8">
        <v>50745</v>
      </c>
      <c r="L98" s="8">
        <v>50405</v>
      </c>
      <c r="M98" s="8">
        <v>48516</v>
      </c>
      <c r="N98" s="8">
        <v>46467</v>
      </c>
      <c r="O98" s="8">
        <v>41813</v>
      </c>
      <c r="P98" s="8">
        <v>35220</v>
      </c>
      <c r="Q98" s="8">
        <v>28163</v>
      </c>
      <c r="R98" s="8">
        <v>20391</v>
      </c>
      <c r="S98" s="8">
        <v>13537</v>
      </c>
      <c r="T98" s="8">
        <v>10736</v>
      </c>
      <c r="U98" s="7">
        <f t="shared" si="4"/>
        <v>23.09167359763423</v>
      </c>
      <c r="V98" s="7">
        <f t="shared" si="5"/>
        <v>70.029110063764904</v>
      </c>
      <c r="W98" s="7">
        <f t="shared" si="6"/>
        <v>6.8792163386008687</v>
      </c>
      <c r="X98" s="7">
        <f>SUM(I98:L98)/D98*100</f>
        <v>31.396820996211073</v>
      </c>
      <c r="Y98" s="7">
        <f t="shared" si="7"/>
        <v>42.79775925889269</v>
      </c>
    </row>
    <row r="99" spans="1:25" x14ac:dyDescent="0.25">
      <c r="A99" s="57">
        <v>1572</v>
      </c>
      <c r="B99" t="s">
        <v>51</v>
      </c>
      <c r="C99" t="s">
        <v>176</v>
      </c>
      <c r="D99" s="8">
        <v>102961</v>
      </c>
      <c r="E99" s="8">
        <v>8026</v>
      </c>
      <c r="F99" s="8">
        <v>7821</v>
      </c>
      <c r="G99" s="8">
        <v>7905</v>
      </c>
      <c r="H99" s="8">
        <v>7742</v>
      </c>
      <c r="I99" s="8">
        <v>7657</v>
      </c>
      <c r="J99" s="8">
        <v>7783</v>
      </c>
      <c r="K99" s="8">
        <v>7779</v>
      </c>
      <c r="L99" s="8">
        <v>7597</v>
      </c>
      <c r="M99" s="8">
        <v>7348</v>
      </c>
      <c r="N99" s="8">
        <v>7324</v>
      </c>
      <c r="O99" s="8">
        <v>6707</v>
      </c>
      <c r="P99" s="8">
        <v>5756</v>
      </c>
      <c r="Q99" s="8">
        <v>4717</v>
      </c>
      <c r="R99" s="8">
        <v>3626</v>
      </c>
      <c r="S99" s="8">
        <v>2553</v>
      </c>
      <c r="T99" s="8">
        <v>2620</v>
      </c>
      <c r="U99" s="7">
        <f t="shared" si="4"/>
        <v>23.068929011955984</v>
      </c>
      <c r="V99" s="7">
        <f t="shared" si="5"/>
        <v>68.385116694670799</v>
      </c>
      <c r="W99" s="7">
        <f t="shared" si="6"/>
        <v>8.5459542933732191</v>
      </c>
      <c r="X99" s="7">
        <f>SUM(I99:L99)/D99*100</f>
        <v>29.929779236798399</v>
      </c>
      <c r="Y99" s="7">
        <f t="shared" si="7"/>
        <v>46.230649055531885</v>
      </c>
    </row>
    <row r="100" spans="1:25" x14ac:dyDescent="0.25">
      <c r="A100" s="57">
        <v>1601</v>
      </c>
      <c r="B100" t="s">
        <v>52</v>
      </c>
      <c r="C100" t="s">
        <v>177</v>
      </c>
      <c r="D100" s="8">
        <v>390470</v>
      </c>
      <c r="E100" s="8">
        <v>31529</v>
      </c>
      <c r="F100" s="8">
        <v>33944</v>
      </c>
      <c r="G100" s="8">
        <v>35550</v>
      </c>
      <c r="H100" s="8">
        <v>32442</v>
      </c>
      <c r="I100" s="8">
        <v>29157</v>
      </c>
      <c r="J100" s="8">
        <v>29565</v>
      </c>
      <c r="K100" s="8">
        <v>29454</v>
      </c>
      <c r="L100" s="8">
        <v>29728</v>
      </c>
      <c r="M100" s="8">
        <v>28335</v>
      </c>
      <c r="N100" s="8">
        <v>26303</v>
      </c>
      <c r="O100" s="8">
        <v>22745</v>
      </c>
      <c r="P100" s="8">
        <v>19456</v>
      </c>
      <c r="Q100" s="8">
        <v>15764</v>
      </c>
      <c r="R100" s="8">
        <v>11749</v>
      </c>
      <c r="S100" s="8">
        <v>7858</v>
      </c>
      <c r="T100" s="8">
        <v>6891</v>
      </c>
      <c r="U100" s="7">
        <f t="shared" si="4"/>
        <v>25.87215407073527</v>
      </c>
      <c r="V100" s="7">
        <f t="shared" si="5"/>
        <v>67.341665172740534</v>
      </c>
      <c r="W100" s="7">
        <f t="shared" si="6"/>
        <v>6.786180756524189</v>
      </c>
      <c r="X100" s="7">
        <f>SUM(I100:L100)/D100*100</f>
        <v>30.195405536917047</v>
      </c>
      <c r="Y100" s="7">
        <f t="shared" si="7"/>
        <v>48.496476503048122</v>
      </c>
    </row>
    <row r="101" spans="1:25" x14ac:dyDescent="0.25">
      <c r="A101" s="57">
        <v>1602</v>
      </c>
      <c r="B101" t="s">
        <v>52</v>
      </c>
      <c r="C101" t="s">
        <v>178</v>
      </c>
      <c r="D101" s="8">
        <v>825692</v>
      </c>
      <c r="E101" s="8">
        <v>68000</v>
      </c>
      <c r="F101" s="8">
        <v>60857</v>
      </c>
      <c r="G101" s="8">
        <v>71426</v>
      </c>
      <c r="H101" s="8">
        <v>69631</v>
      </c>
      <c r="I101" s="8">
        <v>64245</v>
      </c>
      <c r="J101" s="8">
        <v>63983</v>
      </c>
      <c r="K101" s="8">
        <v>65398</v>
      </c>
      <c r="L101" s="8">
        <v>62605</v>
      </c>
      <c r="M101" s="8">
        <v>59731</v>
      </c>
      <c r="N101" s="8">
        <v>57278</v>
      </c>
      <c r="O101" s="8">
        <v>52643</v>
      </c>
      <c r="P101" s="8">
        <v>43908</v>
      </c>
      <c r="Q101" s="8">
        <v>33839</v>
      </c>
      <c r="R101" s="8">
        <v>23294</v>
      </c>
      <c r="S101" s="8">
        <v>15325</v>
      </c>
      <c r="T101" s="8">
        <v>13529</v>
      </c>
      <c r="U101" s="7">
        <f t="shared" si="4"/>
        <v>24.256381314097748</v>
      </c>
      <c r="V101" s="7">
        <f t="shared" si="5"/>
        <v>69.427946498209991</v>
      </c>
      <c r="W101" s="7">
        <f t="shared" si="6"/>
        <v>6.3156721876922628</v>
      </c>
      <c r="X101" s="7">
        <f>SUM(I101:L101)/D101*100</f>
        <v>31.032273535410297</v>
      </c>
      <c r="Y101" s="7">
        <f t="shared" si="7"/>
        <v>44.034218270560878</v>
      </c>
    </row>
    <row r="102" spans="1:25" x14ac:dyDescent="0.25">
      <c r="A102" s="57">
        <v>1603</v>
      </c>
      <c r="B102" t="s">
        <v>52</v>
      </c>
      <c r="C102" t="s">
        <v>179</v>
      </c>
      <c r="D102" s="8">
        <v>654720</v>
      </c>
      <c r="E102" s="8">
        <v>51824</v>
      </c>
      <c r="F102" s="8">
        <v>61930</v>
      </c>
      <c r="G102" s="8">
        <v>56001</v>
      </c>
      <c r="H102" s="8">
        <v>51282</v>
      </c>
      <c r="I102" s="8">
        <v>48810</v>
      </c>
      <c r="J102" s="8">
        <v>50842</v>
      </c>
      <c r="K102" s="8">
        <v>50238</v>
      </c>
      <c r="L102" s="8">
        <v>49833</v>
      </c>
      <c r="M102" s="8">
        <v>46767</v>
      </c>
      <c r="N102" s="8">
        <v>44029</v>
      </c>
      <c r="O102" s="8">
        <v>39502</v>
      </c>
      <c r="P102" s="8">
        <v>32787</v>
      </c>
      <c r="Q102" s="8">
        <v>26536</v>
      </c>
      <c r="R102" s="8">
        <v>19791</v>
      </c>
      <c r="S102" s="8">
        <v>13301</v>
      </c>
      <c r="T102" s="8">
        <v>11247</v>
      </c>
      <c r="U102" s="7">
        <f t="shared" si="4"/>
        <v>25.927877565982406</v>
      </c>
      <c r="V102" s="7">
        <f t="shared" si="5"/>
        <v>67.299914467253174</v>
      </c>
      <c r="W102" s="7">
        <f t="shared" si="6"/>
        <v>6.7722079667644177</v>
      </c>
      <c r="X102" s="7">
        <f>SUM(I102:L102)/D102*100</f>
        <v>30.505101417399803</v>
      </c>
      <c r="Y102" s="7">
        <f t="shared" si="7"/>
        <v>48.588598947860547</v>
      </c>
    </row>
    <row r="103" spans="1:25" x14ac:dyDescent="0.25">
      <c r="A103" s="57">
        <v>1604</v>
      </c>
      <c r="B103" t="s">
        <v>52</v>
      </c>
      <c r="C103" t="s">
        <v>180</v>
      </c>
      <c r="D103" s="8">
        <v>460814</v>
      </c>
      <c r="E103" s="8">
        <v>36428</v>
      </c>
      <c r="F103" s="8">
        <v>38158</v>
      </c>
      <c r="G103" s="8">
        <v>39232</v>
      </c>
      <c r="H103" s="8">
        <v>36893</v>
      </c>
      <c r="I103" s="8">
        <v>38080</v>
      </c>
      <c r="J103" s="8">
        <v>37339</v>
      </c>
      <c r="K103" s="8">
        <v>32032</v>
      </c>
      <c r="L103" s="8">
        <v>32824</v>
      </c>
      <c r="M103" s="8">
        <v>32487</v>
      </c>
      <c r="N103" s="8">
        <v>32551</v>
      </c>
      <c r="O103" s="8">
        <v>28399</v>
      </c>
      <c r="P103" s="8">
        <v>23033</v>
      </c>
      <c r="Q103" s="8">
        <v>18725</v>
      </c>
      <c r="R103" s="8">
        <v>14764</v>
      </c>
      <c r="S103" s="8">
        <v>9978</v>
      </c>
      <c r="T103" s="8">
        <v>9891</v>
      </c>
      <c r="U103" s="7">
        <f t="shared" si="4"/>
        <v>24.699336391689489</v>
      </c>
      <c r="V103" s="7">
        <f t="shared" si="5"/>
        <v>67.785049933378758</v>
      </c>
      <c r="W103" s="7">
        <f t="shared" si="6"/>
        <v>7.5156136749317506</v>
      </c>
      <c r="X103" s="7">
        <f>SUM(I103:L103)/D103*100</f>
        <v>30.440698416280753</v>
      </c>
      <c r="Y103" s="7">
        <f t="shared" si="7"/>
        <v>47.52515502796426</v>
      </c>
    </row>
    <row r="104" spans="1:25" x14ac:dyDescent="0.25">
      <c r="A104" s="57">
        <v>1605</v>
      </c>
      <c r="B104" t="s">
        <v>52</v>
      </c>
      <c r="C104" t="s">
        <v>181</v>
      </c>
      <c r="D104" s="8">
        <v>419572</v>
      </c>
      <c r="E104" s="8">
        <v>33269</v>
      </c>
      <c r="F104" s="8">
        <v>33811</v>
      </c>
      <c r="G104" s="8">
        <v>37001</v>
      </c>
      <c r="H104" s="8">
        <v>33561</v>
      </c>
      <c r="I104" s="8">
        <v>32171</v>
      </c>
      <c r="J104" s="8">
        <v>31355</v>
      </c>
      <c r="K104" s="8">
        <v>30880</v>
      </c>
      <c r="L104" s="8">
        <v>31451</v>
      </c>
      <c r="M104" s="8">
        <v>30969</v>
      </c>
      <c r="N104" s="8">
        <v>30238</v>
      </c>
      <c r="O104" s="8">
        <v>27057</v>
      </c>
      <c r="P104" s="8">
        <v>21271</v>
      </c>
      <c r="Q104" s="8">
        <v>16910</v>
      </c>
      <c r="R104" s="8">
        <v>12689</v>
      </c>
      <c r="S104" s="8">
        <v>8867</v>
      </c>
      <c r="T104" s="8">
        <v>8072</v>
      </c>
      <c r="U104" s="7">
        <f t="shared" si="4"/>
        <v>24.806469449820291</v>
      </c>
      <c r="V104" s="7">
        <f t="shared" si="5"/>
        <v>68.132048849780247</v>
      </c>
      <c r="W104" s="7">
        <f t="shared" si="6"/>
        <v>7.0614817003994554</v>
      </c>
      <c r="X104" s="7">
        <f>SUM(I104:L104)/D104*100</f>
        <v>29.996520263506621</v>
      </c>
      <c r="Y104" s="7">
        <f t="shared" si="7"/>
        <v>46.773804234895735</v>
      </c>
    </row>
    <row r="105" spans="1:25" x14ac:dyDescent="0.25">
      <c r="A105" s="57">
        <v>1606</v>
      </c>
      <c r="B105" t="s">
        <v>52</v>
      </c>
      <c r="C105" t="s">
        <v>182</v>
      </c>
      <c r="D105" s="8">
        <v>666458</v>
      </c>
      <c r="E105" s="8">
        <v>54864</v>
      </c>
      <c r="F105" s="8">
        <v>63747</v>
      </c>
      <c r="G105" s="8">
        <v>61192</v>
      </c>
      <c r="H105" s="8">
        <v>54667</v>
      </c>
      <c r="I105" s="8">
        <v>51272</v>
      </c>
      <c r="J105" s="8">
        <v>48998</v>
      </c>
      <c r="K105" s="8">
        <v>50968</v>
      </c>
      <c r="L105" s="8">
        <v>52878</v>
      </c>
      <c r="M105" s="8">
        <v>50347</v>
      </c>
      <c r="N105" s="8">
        <v>45001</v>
      </c>
      <c r="O105" s="8">
        <v>38395</v>
      </c>
      <c r="P105" s="8">
        <v>31150</v>
      </c>
      <c r="Q105" s="8">
        <v>23376</v>
      </c>
      <c r="R105" s="8">
        <v>17243</v>
      </c>
      <c r="S105" s="8">
        <v>11934</v>
      </c>
      <c r="T105" s="8">
        <v>10426</v>
      </c>
      <c r="U105" s="7">
        <f t="shared" si="4"/>
        <v>26.978894393945307</v>
      </c>
      <c r="V105" s="7">
        <f t="shared" si="5"/>
        <v>67.078795663042541</v>
      </c>
      <c r="W105" s="7">
        <f t="shared" si="6"/>
        <v>5.9423099430121624</v>
      </c>
      <c r="X105" s="7">
        <f>SUM(I105:L105)/D105*100</f>
        <v>30.626986246695214</v>
      </c>
      <c r="Y105" s="7">
        <f t="shared" si="7"/>
        <v>49.078406986211895</v>
      </c>
    </row>
    <row r="106" spans="1:25" x14ac:dyDescent="0.25">
      <c r="A106" s="57">
        <v>1607</v>
      </c>
      <c r="B106" t="s">
        <v>52</v>
      </c>
      <c r="C106" t="s">
        <v>183</v>
      </c>
      <c r="D106" s="8">
        <v>908792</v>
      </c>
      <c r="E106" s="8">
        <v>73808</v>
      </c>
      <c r="F106" s="8">
        <v>72984</v>
      </c>
      <c r="G106" s="8">
        <v>77230</v>
      </c>
      <c r="H106" s="8">
        <v>74002</v>
      </c>
      <c r="I106" s="8">
        <v>73477</v>
      </c>
      <c r="J106" s="8">
        <v>73408</v>
      </c>
      <c r="K106" s="8">
        <v>72353</v>
      </c>
      <c r="L106" s="8">
        <v>69629</v>
      </c>
      <c r="M106" s="8">
        <v>66233</v>
      </c>
      <c r="N106" s="8">
        <v>59788</v>
      </c>
      <c r="O106" s="8">
        <v>54077</v>
      </c>
      <c r="P106" s="8">
        <v>45544</v>
      </c>
      <c r="Q106" s="8">
        <v>35685</v>
      </c>
      <c r="R106" s="8">
        <v>25118</v>
      </c>
      <c r="S106" s="8">
        <v>17413</v>
      </c>
      <c r="T106" s="8">
        <v>18043</v>
      </c>
      <c r="U106" s="7">
        <f t="shared" si="4"/>
        <v>24.650525092650462</v>
      </c>
      <c r="V106" s="7">
        <f t="shared" si="5"/>
        <v>68.684143346332277</v>
      </c>
      <c r="W106" s="7">
        <f t="shared" si="6"/>
        <v>6.665331561017263</v>
      </c>
      <c r="X106" s="7">
        <f>SUM(I106:L106)/D106*100</f>
        <v>31.785821178003324</v>
      </c>
      <c r="Y106" s="7">
        <f t="shared" si="7"/>
        <v>45.594012137213312</v>
      </c>
    </row>
    <row r="107" spans="1:25" x14ac:dyDescent="0.25">
      <c r="A107" s="57">
        <v>1608</v>
      </c>
      <c r="B107" t="s">
        <v>52</v>
      </c>
      <c r="C107" t="s">
        <v>184</v>
      </c>
      <c r="D107" s="8">
        <v>439948</v>
      </c>
      <c r="E107" s="8">
        <v>37292</v>
      </c>
      <c r="F107" s="8">
        <v>32982</v>
      </c>
      <c r="G107" s="8">
        <v>32890</v>
      </c>
      <c r="H107" s="8">
        <v>34762</v>
      </c>
      <c r="I107" s="8">
        <v>37076</v>
      </c>
      <c r="J107" s="8">
        <v>37652</v>
      </c>
      <c r="K107" s="8">
        <v>34855</v>
      </c>
      <c r="L107" s="8">
        <v>34466</v>
      </c>
      <c r="M107" s="8">
        <v>32094</v>
      </c>
      <c r="N107" s="8">
        <v>30747</v>
      </c>
      <c r="O107" s="8">
        <v>26439</v>
      </c>
      <c r="P107" s="8">
        <v>21766</v>
      </c>
      <c r="Q107" s="8">
        <v>17029</v>
      </c>
      <c r="R107" s="8">
        <v>12970</v>
      </c>
      <c r="S107" s="8">
        <v>8622</v>
      </c>
      <c r="T107" s="8">
        <v>8306</v>
      </c>
      <c r="U107" s="7">
        <f t="shared" si="4"/>
        <v>23.449134897760647</v>
      </c>
      <c r="V107" s="7">
        <f t="shared" si="5"/>
        <v>69.755061961868222</v>
      </c>
      <c r="W107" s="7">
        <f t="shared" si="6"/>
        <v>6.7958031403711345</v>
      </c>
      <c r="X107" s="7">
        <f>SUM(I107:L107)/D107*100</f>
        <v>32.742278632929342</v>
      </c>
      <c r="Y107" s="7">
        <f t="shared" si="7"/>
        <v>43.358771661138015</v>
      </c>
    </row>
    <row r="108" spans="1:25" x14ac:dyDescent="0.25">
      <c r="A108" s="57">
        <v>1609</v>
      </c>
      <c r="B108" t="s">
        <v>52</v>
      </c>
      <c r="C108" t="s">
        <v>185</v>
      </c>
      <c r="D108" s="8">
        <v>685776</v>
      </c>
      <c r="E108" s="8">
        <v>52300</v>
      </c>
      <c r="F108" s="8">
        <v>54941</v>
      </c>
      <c r="G108" s="8">
        <v>57393</v>
      </c>
      <c r="H108" s="8">
        <v>52426</v>
      </c>
      <c r="I108" s="8">
        <v>48665</v>
      </c>
      <c r="J108" s="8">
        <v>50207</v>
      </c>
      <c r="K108" s="8">
        <v>52337</v>
      </c>
      <c r="L108" s="8">
        <v>50782</v>
      </c>
      <c r="M108" s="8">
        <v>50934</v>
      </c>
      <c r="N108" s="8">
        <v>50159</v>
      </c>
      <c r="O108" s="8">
        <v>45369</v>
      </c>
      <c r="P108" s="8">
        <v>36668</v>
      </c>
      <c r="Q108" s="8">
        <v>30135</v>
      </c>
      <c r="R108" s="8">
        <v>21876</v>
      </c>
      <c r="S108" s="8">
        <v>15726</v>
      </c>
      <c r="T108" s="8">
        <v>15858</v>
      </c>
      <c r="U108" s="7">
        <f t="shared" si="4"/>
        <v>24.006964373206412</v>
      </c>
      <c r="V108" s="7">
        <f t="shared" si="5"/>
        <v>68.197487226149647</v>
      </c>
      <c r="W108" s="7">
        <f t="shared" si="6"/>
        <v>7.7955484006439422</v>
      </c>
      <c r="X108" s="7">
        <f>SUM(I108:L108)/D108*100</f>
        <v>29.454369940038728</v>
      </c>
      <c r="Y108" s="7">
        <f t="shared" si="7"/>
        <v>46.632968555556978</v>
      </c>
    </row>
    <row r="109" spans="1:25" x14ac:dyDescent="0.25">
      <c r="A109" s="57">
        <v>1610</v>
      </c>
      <c r="B109" t="s">
        <v>52</v>
      </c>
      <c r="C109" t="s">
        <v>186</v>
      </c>
      <c r="D109" s="8">
        <v>446141</v>
      </c>
      <c r="E109" s="8">
        <v>35405</v>
      </c>
      <c r="F109" s="8">
        <v>38487</v>
      </c>
      <c r="G109" s="8">
        <v>40382</v>
      </c>
      <c r="H109" s="8">
        <v>36307</v>
      </c>
      <c r="I109" s="8">
        <v>36161</v>
      </c>
      <c r="J109" s="8">
        <v>36185</v>
      </c>
      <c r="K109" s="8">
        <v>34645</v>
      </c>
      <c r="L109" s="8">
        <v>33796</v>
      </c>
      <c r="M109" s="8">
        <v>30402</v>
      </c>
      <c r="N109" s="8">
        <v>27612</v>
      </c>
      <c r="O109" s="8">
        <v>24965</v>
      </c>
      <c r="P109" s="8">
        <v>21812</v>
      </c>
      <c r="Q109" s="8">
        <v>18669</v>
      </c>
      <c r="R109" s="8">
        <v>14018</v>
      </c>
      <c r="S109" s="8">
        <v>9065</v>
      </c>
      <c r="T109" s="8">
        <v>8230</v>
      </c>
      <c r="U109" s="7">
        <f t="shared" si="4"/>
        <v>25.613875433999567</v>
      </c>
      <c r="V109" s="7">
        <f t="shared" si="5"/>
        <v>67.367491443288102</v>
      </c>
      <c r="W109" s="7">
        <f t="shared" si="6"/>
        <v>7.0186331227123269</v>
      </c>
      <c r="X109" s="7">
        <f>SUM(I109:L109)/D109*100</f>
        <v>31.556615509446566</v>
      </c>
      <c r="Y109" s="7">
        <f t="shared" si="7"/>
        <v>48.43954830080451</v>
      </c>
    </row>
    <row r="110" spans="1:25" x14ac:dyDescent="0.25">
      <c r="A110" s="57">
        <v>1611</v>
      </c>
      <c r="B110" t="s">
        <v>52</v>
      </c>
      <c r="C110" t="s">
        <v>187</v>
      </c>
      <c r="D110" s="8">
        <v>352187</v>
      </c>
      <c r="E110" s="8">
        <v>30915</v>
      </c>
      <c r="F110" s="8">
        <v>21286</v>
      </c>
      <c r="G110" s="8">
        <v>23962</v>
      </c>
      <c r="H110" s="8">
        <v>27628</v>
      </c>
      <c r="I110" s="8">
        <v>29835</v>
      </c>
      <c r="J110" s="8">
        <v>29075</v>
      </c>
      <c r="K110" s="8">
        <v>27699</v>
      </c>
      <c r="L110" s="8">
        <v>30230</v>
      </c>
      <c r="M110" s="8">
        <v>26669</v>
      </c>
      <c r="N110" s="8">
        <v>25516</v>
      </c>
      <c r="O110" s="8">
        <v>21225</v>
      </c>
      <c r="P110" s="8">
        <v>18307</v>
      </c>
      <c r="Q110" s="8">
        <v>14177</v>
      </c>
      <c r="R110" s="8">
        <v>11255</v>
      </c>
      <c r="S110" s="8">
        <v>7090</v>
      </c>
      <c r="T110" s="8">
        <v>7318</v>
      </c>
      <c r="U110" s="7">
        <f t="shared" si="4"/>
        <v>21.625727241493866</v>
      </c>
      <c r="V110" s="7">
        <f t="shared" si="5"/>
        <v>71.087518846521874</v>
      </c>
      <c r="W110" s="7">
        <f t="shared" si="6"/>
        <v>7.2867539119842588</v>
      </c>
      <c r="X110" s="7">
        <f>SUM(I110:L110)/D110*100</f>
        <v>33.175273363298473</v>
      </c>
      <c r="Y110" s="7">
        <f t="shared" si="7"/>
        <v>40.671670108363521</v>
      </c>
    </row>
    <row r="111" spans="1:25" x14ac:dyDescent="0.25">
      <c r="A111" s="57">
        <v>1612</v>
      </c>
      <c r="B111" t="s">
        <v>52</v>
      </c>
      <c r="C111" t="s">
        <v>188</v>
      </c>
      <c r="D111" s="8">
        <v>210633</v>
      </c>
      <c r="E111" s="8">
        <v>18081</v>
      </c>
      <c r="F111" s="8">
        <v>20648</v>
      </c>
      <c r="G111" s="8">
        <v>19880</v>
      </c>
      <c r="H111" s="8">
        <v>17875</v>
      </c>
      <c r="I111" s="8">
        <v>16934</v>
      </c>
      <c r="J111" s="8">
        <v>17493</v>
      </c>
      <c r="K111" s="8">
        <v>17045</v>
      </c>
      <c r="L111" s="8">
        <v>16206</v>
      </c>
      <c r="M111" s="8">
        <v>14622</v>
      </c>
      <c r="N111" s="8">
        <v>13069</v>
      </c>
      <c r="O111" s="8">
        <v>11271</v>
      </c>
      <c r="P111" s="8">
        <v>8888</v>
      </c>
      <c r="Q111" s="8">
        <v>7056</v>
      </c>
      <c r="R111" s="8">
        <v>4986</v>
      </c>
      <c r="S111" s="8">
        <v>3561</v>
      </c>
      <c r="T111" s="8">
        <v>3018</v>
      </c>
      <c r="U111" s="7">
        <f t="shared" si="4"/>
        <v>27.82517459277511</v>
      </c>
      <c r="V111" s="7">
        <f t="shared" si="5"/>
        <v>66.684232765046318</v>
      </c>
      <c r="W111" s="7">
        <f t="shared" si="6"/>
        <v>5.4905926421785756</v>
      </c>
      <c r="X111" s="7">
        <f>SUM(I111:L111)/D111*100</f>
        <v>32.130767733451073</v>
      </c>
      <c r="Y111" s="7">
        <f t="shared" si="7"/>
        <v>49.960486690066141</v>
      </c>
    </row>
    <row r="112" spans="1:25" x14ac:dyDescent="0.25">
      <c r="A112" s="57">
        <v>1613</v>
      </c>
      <c r="B112" t="s">
        <v>52</v>
      </c>
      <c r="C112" t="s">
        <v>189</v>
      </c>
      <c r="D112" s="8">
        <v>203119</v>
      </c>
      <c r="E112" s="8">
        <v>17319</v>
      </c>
      <c r="F112" s="8">
        <v>17214</v>
      </c>
      <c r="G112" s="8">
        <v>18162</v>
      </c>
      <c r="H112" s="8">
        <v>16578</v>
      </c>
      <c r="I112" s="8">
        <v>16358</v>
      </c>
      <c r="J112" s="8">
        <v>16880</v>
      </c>
      <c r="K112" s="8">
        <v>16649</v>
      </c>
      <c r="L112" s="8">
        <v>16503</v>
      </c>
      <c r="M112" s="8">
        <v>14372</v>
      </c>
      <c r="N112" s="8">
        <v>12779</v>
      </c>
      <c r="O112" s="8">
        <v>10873</v>
      </c>
      <c r="P112" s="8">
        <v>9308</v>
      </c>
      <c r="Q112" s="8">
        <v>7792</v>
      </c>
      <c r="R112" s="8">
        <v>5889</v>
      </c>
      <c r="S112" s="8">
        <v>3504</v>
      </c>
      <c r="T112" s="8">
        <v>2939</v>
      </c>
      <c r="U112" s="7">
        <f t="shared" si="4"/>
        <v>25.942920160103188</v>
      </c>
      <c r="V112" s="7">
        <f t="shared" si="5"/>
        <v>67.985762040971053</v>
      </c>
      <c r="W112" s="7">
        <f t="shared" si="6"/>
        <v>6.0713177989257527</v>
      </c>
      <c r="X112" s="7">
        <f>SUM(I112:L112)/D112*100</f>
        <v>32.685273164991955</v>
      </c>
      <c r="Y112" s="7">
        <f t="shared" si="7"/>
        <v>47.089621411812416</v>
      </c>
    </row>
    <row r="113" spans="1:25" x14ac:dyDescent="0.25">
      <c r="A113" s="57">
        <v>1671</v>
      </c>
      <c r="B113" t="s">
        <v>52</v>
      </c>
      <c r="C113" t="s">
        <v>190</v>
      </c>
      <c r="D113" s="8">
        <v>1740559</v>
      </c>
      <c r="E113" s="8">
        <v>132751</v>
      </c>
      <c r="F113" s="8">
        <v>150681</v>
      </c>
      <c r="G113" s="8">
        <v>152986</v>
      </c>
      <c r="H113" s="8">
        <v>128845</v>
      </c>
      <c r="I113" s="8">
        <v>121980</v>
      </c>
      <c r="J113" s="8">
        <v>132244</v>
      </c>
      <c r="K113" s="8">
        <v>135673</v>
      </c>
      <c r="L113" s="8">
        <v>132891</v>
      </c>
      <c r="M113" s="8">
        <v>128554</v>
      </c>
      <c r="N113" s="8">
        <v>115793</v>
      </c>
      <c r="O113" s="8">
        <v>104454</v>
      </c>
      <c r="P113" s="8">
        <v>91302</v>
      </c>
      <c r="Q113" s="8">
        <v>75280</v>
      </c>
      <c r="R113" s="8">
        <v>59347</v>
      </c>
      <c r="S113" s="8">
        <v>41912</v>
      </c>
      <c r="T113" s="8">
        <v>35866</v>
      </c>
      <c r="U113" s="7">
        <f t="shared" si="4"/>
        <v>25.073439050328084</v>
      </c>
      <c r="V113" s="7">
        <f t="shared" si="5"/>
        <v>67.04834481336168</v>
      </c>
      <c r="W113" s="7">
        <f t="shared" si="6"/>
        <v>7.8782161363102317</v>
      </c>
      <c r="X113" s="7">
        <f>SUM(I113:L113)/D113*100</f>
        <v>30.035637976075503</v>
      </c>
      <c r="Y113" s="7">
        <f t="shared" si="7"/>
        <v>49.146112821075292</v>
      </c>
    </row>
    <row r="114" spans="1:25" x14ac:dyDescent="0.25">
      <c r="A114" s="57">
        <v>1672</v>
      </c>
      <c r="B114" t="s">
        <v>52</v>
      </c>
      <c r="C114" t="s">
        <v>191</v>
      </c>
      <c r="D114" s="8">
        <v>208461</v>
      </c>
      <c r="E114" s="8">
        <v>16595</v>
      </c>
      <c r="F114" s="8">
        <v>19161</v>
      </c>
      <c r="G114" s="8">
        <v>20069</v>
      </c>
      <c r="H114" s="8">
        <v>17919</v>
      </c>
      <c r="I114" s="8">
        <v>16453</v>
      </c>
      <c r="J114" s="8">
        <v>16228</v>
      </c>
      <c r="K114" s="8">
        <v>15590</v>
      </c>
      <c r="L114" s="8">
        <v>15471</v>
      </c>
      <c r="M114" s="8">
        <v>15029</v>
      </c>
      <c r="N114" s="8">
        <v>13875</v>
      </c>
      <c r="O114" s="8">
        <v>12186</v>
      </c>
      <c r="P114" s="8">
        <v>9891</v>
      </c>
      <c r="Q114" s="8">
        <v>7816</v>
      </c>
      <c r="R114" s="8">
        <v>5639</v>
      </c>
      <c r="S114" s="8">
        <v>3746</v>
      </c>
      <c r="T114" s="8">
        <v>2793</v>
      </c>
      <c r="U114" s="7">
        <f t="shared" si="4"/>
        <v>26.779589467574272</v>
      </c>
      <c r="V114" s="7">
        <f t="shared" si="5"/>
        <v>67.378550424299988</v>
      </c>
      <c r="W114" s="7">
        <f t="shared" si="6"/>
        <v>5.84186010812574</v>
      </c>
      <c r="X114" s="7">
        <f>SUM(I114:L114)/D114*100</f>
        <v>30.577422155702987</v>
      </c>
      <c r="Y114" s="7">
        <f t="shared" si="7"/>
        <v>48.415184610346152</v>
      </c>
    </row>
    <row r="115" spans="1:25" x14ac:dyDescent="0.25">
      <c r="A115" s="57">
        <v>1673</v>
      </c>
      <c r="B115" t="s">
        <v>52</v>
      </c>
      <c r="C115" t="s">
        <v>192</v>
      </c>
      <c r="D115" s="8">
        <v>151820</v>
      </c>
      <c r="E115" s="8">
        <v>11588</v>
      </c>
      <c r="F115" s="8">
        <v>12657</v>
      </c>
      <c r="G115" s="8">
        <v>13379</v>
      </c>
      <c r="H115" s="8">
        <v>11965</v>
      </c>
      <c r="I115" s="8">
        <v>10928</v>
      </c>
      <c r="J115" s="8">
        <v>11057</v>
      </c>
      <c r="K115" s="8">
        <v>10406</v>
      </c>
      <c r="L115" s="8">
        <v>11176</v>
      </c>
      <c r="M115" s="8">
        <v>11489</v>
      </c>
      <c r="N115" s="8">
        <v>11373</v>
      </c>
      <c r="O115" s="8">
        <v>9825</v>
      </c>
      <c r="P115" s="8">
        <v>7819</v>
      </c>
      <c r="Q115" s="8">
        <v>6516</v>
      </c>
      <c r="R115" s="8">
        <v>5039</v>
      </c>
      <c r="S115" s="8">
        <v>3450</v>
      </c>
      <c r="T115" s="8">
        <v>3153</v>
      </c>
      <c r="U115" s="7">
        <f t="shared" si="4"/>
        <v>24.781978658938218</v>
      </c>
      <c r="V115" s="7">
        <f t="shared" si="5"/>
        <v>67.549729943353981</v>
      </c>
      <c r="W115" s="7">
        <f t="shared" si="6"/>
        <v>7.6682913977078115</v>
      </c>
      <c r="X115" s="7">
        <f>SUM(I115:L115)/D115*100</f>
        <v>28.696482676854167</v>
      </c>
      <c r="Y115" s="7">
        <f t="shared" si="7"/>
        <v>48.03908184956218</v>
      </c>
    </row>
    <row r="116" spans="1:25" x14ac:dyDescent="0.25">
      <c r="A116" s="57">
        <v>1674</v>
      </c>
      <c r="B116" t="s">
        <v>52</v>
      </c>
      <c r="C116" t="s">
        <v>193</v>
      </c>
      <c r="D116" s="8">
        <v>251980</v>
      </c>
      <c r="E116" s="8">
        <v>20727</v>
      </c>
      <c r="F116" s="8">
        <v>23135</v>
      </c>
      <c r="G116" s="8">
        <v>22331</v>
      </c>
      <c r="H116" s="8">
        <v>20195</v>
      </c>
      <c r="I116" s="8">
        <v>19630</v>
      </c>
      <c r="J116" s="8">
        <v>20222</v>
      </c>
      <c r="K116" s="8">
        <v>19920</v>
      </c>
      <c r="L116" s="8">
        <v>19522</v>
      </c>
      <c r="M116" s="8">
        <v>17810</v>
      </c>
      <c r="N116" s="8">
        <v>16610</v>
      </c>
      <c r="O116" s="8">
        <v>14554</v>
      </c>
      <c r="P116" s="8">
        <v>11932</v>
      </c>
      <c r="Q116" s="8">
        <v>9679</v>
      </c>
      <c r="R116" s="8">
        <v>7157</v>
      </c>
      <c r="S116" s="8">
        <v>4615</v>
      </c>
      <c r="T116" s="8">
        <v>3941</v>
      </c>
      <c r="U116" s="7">
        <f t="shared" si="4"/>
        <v>26.269148345106753</v>
      </c>
      <c r="V116" s="7">
        <f t="shared" si="5"/>
        <v>67.495039288832444</v>
      </c>
      <c r="W116" s="7">
        <f t="shared" si="6"/>
        <v>6.2358123660607987</v>
      </c>
      <c r="X116" s="7">
        <f>SUM(I116:L116)/D116*100</f>
        <v>31.468370505595683</v>
      </c>
      <c r="Y116" s="7">
        <f t="shared" si="7"/>
        <v>48.159036654632693</v>
      </c>
    </row>
    <row r="117" spans="1:25" x14ac:dyDescent="0.25">
      <c r="A117" s="57">
        <v>1701</v>
      </c>
      <c r="B117" t="s">
        <v>53</v>
      </c>
      <c r="C117" t="s">
        <v>194</v>
      </c>
      <c r="D117" s="8">
        <v>176907</v>
      </c>
      <c r="E117" s="8">
        <v>14956</v>
      </c>
      <c r="F117" s="8">
        <v>13852</v>
      </c>
      <c r="G117" s="8">
        <v>14158</v>
      </c>
      <c r="H117" s="8">
        <v>14432</v>
      </c>
      <c r="I117" s="8">
        <v>14458</v>
      </c>
      <c r="J117" s="8">
        <v>13603</v>
      </c>
      <c r="K117" s="8">
        <v>12759</v>
      </c>
      <c r="L117" s="8">
        <v>12550</v>
      </c>
      <c r="M117" s="8">
        <v>12247</v>
      </c>
      <c r="N117" s="8">
        <v>11863</v>
      </c>
      <c r="O117" s="8">
        <v>11343</v>
      </c>
      <c r="P117" s="8">
        <v>9818</v>
      </c>
      <c r="Q117" s="8">
        <v>7684</v>
      </c>
      <c r="R117" s="8">
        <v>5631</v>
      </c>
      <c r="S117" s="8">
        <v>3826</v>
      </c>
      <c r="T117" s="8">
        <v>3727</v>
      </c>
      <c r="U117" s="7">
        <f t="shared" si="4"/>
        <v>24.287337414573759</v>
      </c>
      <c r="V117" s="7">
        <f t="shared" si="5"/>
        <v>68.260159292735736</v>
      </c>
      <c r="W117" s="7">
        <f t="shared" si="6"/>
        <v>7.4525032926905102</v>
      </c>
      <c r="X117" s="7">
        <f>SUM(I117:L117)/D117*100</f>
        <v>30.168393562719391</v>
      </c>
      <c r="Y117" s="7">
        <f t="shared" si="7"/>
        <v>46.498339640766169</v>
      </c>
    </row>
    <row r="118" spans="1:25" x14ac:dyDescent="0.25">
      <c r="A118" s="57">
        <v>1702</v>
      </c>
      <c r="B118" t="s">
        <v>53</v>
      </c>
      <c r="C118" t="s">
        <v>195</v>
      </c>
      <c r="D118" s="8">
        <v>294879</v>
      </c>
      <c r="E118" s="8">
        <v>23912</v>
      </c>
      <c r="F118" s="8">
        <v>22220</v>
      </c>
      <c r="G118" s="8">
        <v>21992</v>
      </c>
      <c r="H118" s="8">
        <v>23306</v>
      </c>
      <c r="I118" s="8">
        <v>24235</v>
      </c>
      <c r="J118" s="8">
        <v>24251</v>
      </c>
      <c r="K118" s="8">
        <v>23172</v>
      </c>
      <c r="L118" s="8">
        <v>22282</v>
      </c>
      <c r="M118" s="8">
        <v>21321</v>
      </c>
      <c r="N118" s="8">
        <v>21171</v>
      </c>
      <c r="O118" s="8">
        <v>18798</v>
      </c>
      <c r="P118" s="8">
        <v>15454</v>
      </c>
      <c r="Q118" s="8">
        <v>12117</v>
      </c>
      <c r="R118" s="8">
        <v>9086</v>
      </c>
      <c r="S118" s="8">
        <v>6303</v>
      </c>
      <c r="T118" s="8">
        <v>5259</v>
      </c>
      <c r="U118" s="7">
        <f t="shared" si="4"/>
        <v>23.102357238053575</v>
      </c>
      <c r="V118" s="7">
        <f t="shared" si="5"/>
        <v>69.895448641646226</v>
      </c>
      <c r="W118" s="7">
        <f t="shared" si="6"/>
        <v>7.0021941203001914</v>
      </c>
      <c r="X118" s="7">
        <f>SUM(I118:L118)/D118*100</f>
        <v>31.857134621319254</v>
      </c>
      <c r="Y118" s="7">
        <f t="shared" si="7"/>
        <v>43.070832140587171</v>
      </c>
    </row>
    <row r="119" spans="1:25" x14ac:dyDescent="0.25">
      <c r="A119" s="57">
        <v>1703</v>
      </c>
      <c r="B119" t="s">
        <v>53</v>
      </c>
      <c r="C119" t="s">
        <v>196</v>
      </c>
      <c r="D119" s="8">
        <v>316824</v>
      </c>
      <c r="E119" s="8">
        <v>26578</v>
      </c>
      <c r="F119" s="8">
        <v>27279</v>
      </c>
      <c r="G119" s="8">
        <v>26563</v>
      </c>
      <c r="H119" s="8">
        <v>26314</v>
      </c>
      <c r="I119" s="8">
        <v>24318</v>
      </c>
      <c r="J119" s="8">
        <v>23667</v>
      </c>
      <c r="K119" s="8">
        <v>23554</v>
      </c>
      <c r="L119" s="8">
        <v>23707</v>
      </c>
      <c r="M119" s="8">
        <v>23577</v>
      </c>
      <c r="N119" s="8">
        <v>21746</v>
      </c>
      <c r="O119" s="8">
        <v>18727</v>
      </c>
      <c r="P119" s="8">
        <v>15697</v>
      </c>
      <c r="Q119" s="8">
        <v>12619</v>
      </c>
      <c r="R119" s="8">
        <v>9504</v>
      </c>
      <c r="S119" s="8">
        <v>6788</v>
      </c>
      <c r="T119" s="8">
        <v>6186</v>
      </c>
      <c r="U119" s="7">
        <f t="shared" si="4"/>
        <v>25.383178042067524</v>
      </c>
      <c r="V119" s="7">
        <f t="shared" si="5"/>
        <v>67.522031159255619</v>
      </c>
      <c r="W119" s="7">
        <f t="shared" si="6"/>
        <v>7.0947907986768683</v>
      </c>
      <c r="X119" s="7">
        <f>SUM(I119:L119)/D119*100</f>
        <v>30.062747771633465</v>
      </c>
      <c r="Y119" s="7">
        <f t="shared" si="7"/>
        <v>48.099810214747158</v>
      </c>
    </row>
    <row r="120" spans="1:25" x14ac:dyDescent="0.25">
      <c r="A120" s="57">
        <v>1704</v>
      </c>
      <c r="B120" t="s">
        <v>53</v>
      </c>
      <c r="C120" t="s">
        <v>197</v>
      </c>
      <c r="D120" s="8">
        <v>135779</v>
      </c>
      <c r="E120" s="8">
        <v>11973</v>
      </c>
      <c r="F120" s="8">
        <v>10453</v>
      </c>
      <c r="G120" s="8">
        <v>10840</v>
      </c>
      <c r="H120" s="8">
        <v>11485</v>
      </c>
      <c r="I120" s="8">
        <v>11620</v>
      </c>
      <c r="J120" s="8">
        <v>10461</v>
      </c>
      <c r="K120" s="8">
        <v>9767</v>
      </c>
      <c r="L120" s="8">
        <v>9987</v>
      </c>
      <c r="M120" s="8">
        <v>9808</v>
      </c>
      <c r="N120" s="8">
        <v>9385</v>
      </c>
      <c r="O120" s="8">
        <v>8433</v>
      </c>
      <c r="P120" s="8">
        <v>6802</v>
      </c>
      <c r="Q120" s="8">
        <v>5477</v>
      </c>
      <c r="R120" s="8">
        <v>4153</v>
      </c>
      <c r="S120" s="8">
        <v>2595</v>
      </c>
      <c r="T120" s="8">
        <v>2540</v>
      </c>
      <c r="U120" s="7">
        <f t="shared" si="4"/>
        <v>24.500106791182731</v>
      </c>
      <c r="V120" s="7">
        <f t="shared" si="5"/>
        <v>68.659365586725485</v>
      </c>
      <c r="W120" s="7">
        <f t="shared" si="6"/>
        <v>6.8405276220917814</v>
      </c>
      <c r="X120" s="7">
        <f>SUM(I120:L120)/D120*100</f>
        <v>30.811097445113017</v>
      </c>
      <c r="Y120" s="7">
        <f t="shared" si="7"/>
        <v>45.646554035934564</v>
      </c>
    </row>
    <row r="121" spans="1:25" x14ac:dyDescent="0.25">
      <c r="A121" s="57">
        <v>1705</v>
      </c>
      <c r="B121" t="s">
        <v>53</v>
      </c>
      <c r="C121" t="s">
        <v>198</v>
      </c>
      <c r="D121" s="8">
        <v>222168</v>
      </c>
      <c r="E121" s="8">
        <v>19292</v>
      </c>
      <c r="F121" s="8">
        <v>17720</v>
      </c>
      <c r="G121" s="8">
        <v>17248</v>
      </c>
      <c r="H121" s="8">
        <v>17350</v>
      </c>
      <c r="I121" s="8">
        <v>17991</v>
      </c>
      <c r="J121" s="8">
        <v>16864</v>
      </c>
      <c r="K121" s="8">
        <v>16853</v>
      </c>
      <c r="L121" s="8">
        <v>16640</v>
      </c>
      <c r="M121" s="8">
        <v>16739</v>
      </c>
      <c r="N121" s="8">
        <v>15992</v>
      </c>
      <c r="O121" s="8">
        <v>13857</v>
      </c>
      <c r="P121" s="8">
        <v>11428</v>
      </c>
      <c r="Q121" s="8">
        <v>9020</v>
      </c>
      <c r="R121" s="8">
        <v>6667</v>
      </c>
      <c r="S121" s="8">
        <v>4332</v>
      </c>
      <c r="T121" s="8">
        <v>4175</v>
      </c>
      <c r="U121" s="7">
        <f t="shared" si="4"/>
        <v>24.422959202045298</v>
      </c>
      <c r="V121" s="7">
        <f t="shared" si="5"/>
        <v>68.747074286125823</v>
      </c>
      <c r="W121" s="7">
        <f t="shared" si="6"/>
        <v>6.8299665118288857</v>
      </c>
      <c r="X121" s="7">
        <f>SUM(I121:L121)/D121*100</f>
        <v>30.76410644197184</v>
      </c>
      <c r="Y121" s="7">
        <f t="shared" si="7"/>
        <v>45.460735658072203</v>
      </c>
    </row>
    <row r="122" spans="1:25" x14ac:dyDescent="0.25">
      <c r="A122" s="57">
        <v>1706</v>
      </c>
      <c r="B122" t="s">
        <v>53</v>
      </c>
      <c r="C122" t="s">
        <v>199</v>
      </c>
      <c r="D122" s="8">
        <v>207380</v>
      </c>
      <c r="E122" s="8">
        <v>17902</v>
      </c>
      <c r="F122" s="8">
        <v>18916</v>
      </c>
      <c r="G122" s="8">
        <v>18519</v>
      </c>
      <c r="H122" s="8">
        <v>17769</v>
      </c>
      <c r="I122" s="8">
        <v>16455</v>
      </c>
      <c r="J122" s="8">
        <v>16405</v>
      </c>
      <c r="K122" s="8">
        <v>16278</v>
      </c>
      <c r="L122" s="8">
        <v>16490</v>
      </c>
      <c r="M122" s="8">
        <v>15834</v>
      </c>
      <c r="N122" s="8">
        <v>13450</v>
      </c>
      <c r="O122" s="8">
        <v>11290</v>
      </c>
      <c r="P122" s="8">
        <v>9267</v>
      </c>
      <c r="Q122" s="8">
        <v>7170</v>
      </c>
      <c r="R122" s="8">
        <v>4948</v>
      </c>
      <c r="S122" s="8">
        <v>3569</v>
      </c>
      <c r="T122" s="8">
        <v>3118</v>
      </c>
      <c r="U122" s="7">
        <f t="shared" si="4"/>
        <v>26.68386536792362</v>
      </c>
      <c r="V122" s="7">
        <f t="shared" si="5"/>
        <v>67.705661105217473</v>
      </c>
      <c r="W122" s="7">
        <f t="shared" si="6"/>
        <v>5.6104735268589065</v>
      </c>
      <c r="X122" s="7">
        <f>SUM(I122:L122)/D122*100</f>
        <v>31.646253254894397</v>
      </c>
      <c r="Y122" s="7">
        <f t="shared" si="7"/>
        <v>47.698136858298675</v>
      </c>
    </row>
    <row r="123" spans="1:25" x14ac:dyDescent="0.25">
      <c r="A123" s="57">
        <v>1707</v>
      </c>
      <c r="B123" t="s">
        <v>53</v>
      </c>
      <c r="C123" t="s">
        <v>200</v>
      </c>
      <c r="D123" s="8">
        <v>114499</v>
      </c>
      <c r="E123" s="8">
        <v>10052</v>
      </c>
      <c r="F123" s="8">
        <v>9284</v>
      </c>
      <c r="G123" s="8">
        <v>9090</v>
      </c>
      <c r="H123" s="8">
        <v>8661</v>
      </c>
      <c r="I123" s="8">
        <v>9216</v>
      </c>
      <c r="J123" s="8">
        <v>9225</v>
      </c>
      <c r="K123" s="8">
        <v>8807</v>
      </c>
      <c r="L123" s="8">
        <v>8628</v>
      </c>
      <c r="M123" s="8">
        <v>8075</v>
      </c>
      <c r="N123" s="8">
        <v>7446</v>
      </c>
      <c r="O123" s="8">
        <v>6883</v>
      </c>
      <c r="P123" s="8">
        <v>5784</v>
      </c>
      <c r="Q123" s="8">
        <v>4807</v>
      </c>
      <c r="R123" s="8">
        <v>3705</v>
      </c>
      <c r="S123" s="8">
        <v>2596</v>
      </c>
      <c r="T123" s="8">
        <v>2240</v>
      </c>
      <c r="U123" s="7">
        <f t="shared" si="4"/>
        <v>24.826417697971163</v>
      </c>
      <c r="V123" s="7">
        <f t="shared" si="5"/>
        <v>67.714128507672555</v>
      </c>
      <c r="W123" s="7">
        <f t="shared" si="6"/>
        <v>7.4594537943562829</v>
      </c>
      <c r="X123" s="7">
        <f>SUM(I123:L123)/D123*100</f>
        <v>31.333024742574171</v>
      </c>
      <c r="Y123" s="7">
        <f t="shared" si="7"/>
        <v>47.679667750090289</v>
      </c>
    </row>
    <row r="124" spans="1:25" x14ac:dyDescent="0.25">
      <c r="A124" s="57">
        <v>1708</v>
      </c>
      <c r="B124" t="s">
        <v>53</v>
      </c>
      <c r="C124" t="s">
        <v>201</v>
      </c>
      <c r="D124" s="8">
        <v>159639</v>
      </c>
      <c r="E124" s="8">
        <v>12896</v>
      </c>
      <c r="F124" s="8">
        <v>12093</v>
      </c>
      <c r="G124" s="8">
        <v>11936</v>
      </c>
      <c r="H124" s="8">
        <v>11979</v>
      </c>
      <c r="I124" s="8">
        <v>12150</v>
      </c>
      <c r="J124" s="8">
        <v>12878</v>
      </c>
      <c r="K124" s="8">
        <v>12406</v>
      </c>
      <c r="L124" s="8">
        <v>12893</v>
      </c>
      <c r="M124" s="8">
        <v>11966</v>
      </c>
      <c r="N124" s="8">
        <v>11974</v>
      </c>
      <c r="O124" s="8">
        <v>10513</v>
      </c>
      <c r="P124" s="8">
        <v>8660</v>
      </c>
      <c r="Q124" s="8">
        <v>6807</v>
      </c>
      <c r="R124" s="8">
        <v>4747</v>
      </c>
      <c r="S124" s="8">
        <v>3124</v>
      </c>
      <c r="T124" s="8">
        <v>2617</v>
      </c>
      <c r="U124" s="7">
        <f t="shared" si="4"/>
        <v>23.130312768183213</v>
      </c>
      <c r="V124" s="7">
        <f t="shared" si="5"/>
        <v>70.299864068304103</v>
      </c>
      <c r="W124" s="7">
        <f t="shared" si="6"/>
        <v>6.5698231635126749</v>
      </c>
      <c r="X124" s="7">
        <f>SUM(I124:L124)/D124*100</f>
        <v>31.525504419346152</v>
      </c>
      <c r="Y124" s="7">
        <f t="shared" si="7"/>
        <v>42.247785718104538</v>
      </c>
    </row>
    <row r="125" spans="1:25" x14ac:dyDescent="0.25">
      <c r="A125" s="57">
        <v>1709</v>
      </c>
      <c r="B125" t="s">
        <v>53</v>
      </c>
      <c r="C125" t="s">
        <v>202</v>
      </c>
      <c r="D125" s="8">
        <v>125675</v>
      </c>
      <c r="E125" s="8">
        <v>11059</v>
      </c>
      <c r="F125" s="8">
        <v>10244</v>
      </c>
      <c r="G125" s="8">
        <v>10546</v>
      </c>
      <c r="H125" s="8">
        <v>10428</v>
      </c>
      <c r="I125" s="8">
        <v>10244</v>
      </c>
      <c r="J125" s="8">
        <v>10251</v>
      </c>
      <c r="K125" s="8">
        <v>10056</v>
      </c>
      <c r="L125" s="8">
        <v>9981</v>
      </c>
      <c r="M125" s="8">
        <v>9132</v>
      </c>
      <c r="N125" s="8">
        <v>8425</v>
      </c>
      <c r="O125" s="8">
        <v>7253</v>
      </c>
      <c r="P125" s="8">
        <v>5825</v>
      </c>
      <c r="Q125" s="8">
        <v>4549</v>
      </c>
      <c r="R125" s="8">
        <v>3397</v>
      </c>
      <c r="S125" s="8">
        <v>2201</v>
      </c>
      <c r="T125" s="8">
        <v>2084</v>
      </c>
      <c r="U125" s="7">
        <f t="shared" si="4"/>
        <v>25.342351302963994</v>
      </c>
      <c r="V125" s="7">
        <f t="shared" si="5"/>
        <v>68.545056693853184</v>
      </c>
      <c r="W125" s="7">
        <f t="shared" si="6"/>
        <v>6.1125920031828134</v>
      </c>
      <c r="X125" s="7">
        <f>SUM(I125:L125)/D125*100</f>
        <v>32.251442212054904</v>
      </c>
      <c r="Y125" s="7">
        <f t="shared" si="7"/>
        <v>45.889440936106986</v>
      </c>
    </row>
    <row r="126" spans="1:25" x14ac:dyDescent="0.25">
      <c r="A126" s="57">
        <v>1771</v>
      </c>
      <c r="B126" t="s">
        <v>53</v>
      </c>
      <c r="C126" t="s">
        <v>203</v>
      </c>
      <c r="D126" s="8">
        <v>409591</v>
      </c>
      <c r="E126" s="8">
        <v>36069</v>
      </c>
      <c r="F126" s="8">
        <v>34781</v>
      </c>
      <c r="G126" s="8">
        <v>32994</v>
      </c>
      <c r="H126" s="8">
        <v>30127</v>
      </c>
      <c r="I126" s="8">
        <v>29928</v>
      </c>
      <c r="J126" s="8">
        <v>35623</v>
      </c>
      <c r="K126" s="8">
        <v>37387</v>
      </c>
      <c r="L126" s="8">
        <v>34044</v>
      </c>
      <c r="M126" s="8">
        <v>29330</v>
      </c>
      <c r="N126" s="8">
        <v>25848</v>
      </c>
      <c r="O126" s="8">
        <v>23132</v>
      </c>
      <c r="P126" s="8">
        <v>19975</v>
      </c>
      <c r="Q126" s="8">
        <v>16576</v>
      </c>
      <c r="R126" s="8">
        <v>11716</v>
      </c>
      <c r="S126" s="8">
        <v>7138</v>
      </c>
      <c r="T126" s="8">
        <v>4923</v>
      </c>
      <c r="U126" s="7">
        <f t="shared" si="4"/>
        <v>25.3530961373663</v>
      </c>
      <c r="V126" s="7">
        <f t="shared" si="5"/>
        <v>68.84184466943853</v>
      </c>
      <c r="W126" s="7">
        <f t="shared" si="6"/>
        <v>5.8050591931951629</v>
      </c>
      <c r="X126" s="7">
        <f>SUM(I126:L126)/D126*100</f>
        <v>33.44360593860705</v>
      </c>
      <c r="Y126" s="7">
        <f t="shared" si="7"/>
        <v>45.26048870447211</v>
      </c>
    </row>
    <row r="127" spans="1:25" x14ac:dyDescent="0.25">
      <c r="A127" s="57">
        <v>1801</v>
      </c>
      <c r="B127" t="s">
        <v>54</v>
      </c>
      <c r="C127" t="s">
        <v>204</v>
      </c>
      <c r="D127" s="8">
        <v>322589</v>
      </c>
      <c r="E127" s="8">
        <v>28800</v>
      </c>
      <c r="F127" s="8">
        <v>27750</v>
      </c>
      <c r="G127" s="8">
        <v>26314</v>
      </c>
      <c r="H127" s="8">
        <v>25986</v>
      </c>
      <c r="I127" s="8">
        <v>25049</v>
      </c>
      <c r="J127" s="8">
        <v>24300</v>
      </c>
      <c r="K127" s="8">
        <v>23744</v>
      </c>
      <c r="L127" s="8">
        <v>25229</v>
      </c>
      <c r="M127" s="8">
        <v>23611</v>
      </c>
      <c r="N127" s="8">
        <v>21884</v>
      </c>
      <c r="O127" s="8">
        <v>19338</v>
      </c>
      <c r="P127" s="8">
        <v>16552</v>
      </c>
      <c r="Q127" s="8">
        <v>12783</v>
      </c>
      <c r="R127" s="8">
        <v>9477</v>
      </c>
      <c r="S127" s="8">
        <v>6099</v>
      </c>
      <c r="T127" s="8">
        <v>5673</v>
      </c>
      <c r="U127" s="7">
        <f t="shared" si="4"/>
        <v>25.687174702175213</v>
      </c>
      <c r="V127" s="7">
        <f t="shared" si="5"/>
        <v>67.72580590162714</v>
      </c>
      <c r="W127" s="7">
        <f t="shared" si="6"/>
        <v>6.587019396197638</v>
      </c>
      <c r="X127" s="7">
        <f>SUM(I127:L127)/D127*100</f>
        <v>30.479030593107638</v>
      </c>
      <c r="Y127" s="7">
        <f t="shared" si="7"/>
        <v>47.654204580823524</v>
      </c>
    </row>
    <row r="128" spans="1:25" x14ac:dyDescent="0.25">
      <c r="A128" s="57">
        <v>1802</v>
      </c>
      <c r="B128" t="s">
        <v>54</v>
      </c>
      <c r="C128" t="s">
        <v>205</v>
      </c>
      <c r="D128" s="8">
        <v>685539</v>
      </c>
      <c r="E128" s="8">
        <v>57868</v>
      </c>
      <c r="F128" s="8">
        <v>55831</v>
      </c>
      <c r="G128" s="8">
        <v>56283</v>
      </c>
      <c r="H128" s="8">
        <v>51918</v>
      </c>
      <c r="I128" s="8">
        <v>52334</v>
      </c>
      <c r="J128" s="8">
        <v>54918</v>
      </c>
      <c r="K128" s="8">
        <v>52521</v>
      </c>
      <c r="L128" s="8">
        <v>53856</v>
      </c>
      <c r="M128" s="8">
        <v>48758</v>
      </c>
      <c r="N128" s="8">
        <v>45899</v>
      </c>
      <c r="O128" s="8">
        <v>39862</v>
      </c>
      <c r="P128" s="8">
        <v>34986</v>
      </c>
      <c r="Q128" s="8">
        <v>28572</v>
      </c>
      <c r="R128" s="8">
        <v>21953</v>
      </c>
      <c r="S128" s="8">
        <v>14962</v>
      </c>
      <c r="T128" s="8">
        <v>15018</v>
      </c>
      <c r="U128" s="7">
        <f t="shared" si="4"/>
        <v>24.795379985675506</v>
      </c>
      <c r="V128" s="7">
        <f t="shared" si="5"/>
        <v>67.629121027395968</v>
      </c>
      <c r="W128" s="7">
        <f t="shared" si="6"/>
        <v>7.5754989869285332</v>
      </c>
      <c r="X128" s="7">
        <f>SUM(I128:L128)/D128*100</f>
        <v>31.16219500276425</v>
      </c>
      <c r="Y128" s="7">
        <f t="shared" si="7"/>
        <v>47.865296015736888</v>
      </c>
    </row>
    <row r="129" spans="1:25" x14ac:dyDescent="0.25">
      <c r="A129" s="57">
        <v>1803</v>
      </c>
      <c r="B129" t="s">
        <v>54</v>
      </c>
      <c r="C129" t="s">
        <v>206</v>
      </c>
      <c r="D129" s="8">
        <v>1147198</v>
      </c>
      <c r="E129" s="8">
        <v>96250</v>
      </c>
      <c r="F129" s="8">
        <v>98818</v>
      </c>
      <c r="G129" s="8">
        <v>97317</v>
      </c>
      <c r="H129" s="8">
        <v>90235</v>
      </c>
      <c r="I129" s="8">
        <v>87786</v>
      </c>
      <c r="J129" s="8">
        <v>90017</v>
      </c>
      <c r="K129" s="8">
        <v>87297</v>
      </c>
      <c r="L129" s="8">
        <v>83871</v>
      </c>
      <c r="M129" s="8">
        <v>84833</v>
      </c>
      <c r="N129" s="8">
        <v>79481</v>
      </c>
      <c r="O129" s="8">
        <v>69762</v>
      </c>
      <c r="P129" s="8">
        <v>57241</v>
      </c>
      <c r="Q129" s="8">
        <v>45984</v>
      </c>
      <c r="R129" s="8">
        <v>34194</v>
      </c>
      <c r="S129" s="8">
        <v>22929</v>
      </c>
      <c r="T129" s="8">
        <v>21183</v>
      </c>
      <c r="U129" s="7">
        <f t="shared" si="4"/>
        <v>25.48688195063102</v>
      </c>
      <c r="V129" s="7">
        <f t="shared" si="5"/>
        <v>67.687269329270094</v>
      </c>
      <c r="W129" s="7">
        <f t="shared" si="6"/>
        <v>6.8258487200988842</v>
      </c>
      <c r="X129" s="7">
        <f>SUM(I129:L129)/D129*100</f>
        <v>30.4194219306519</v>
      </c>
      <c r="Y129" s="7">
        <f t="shared" si="7"/>
        <v>47.738268940267119</v>
      </c>
    </row>
    <row r="130" spans="1:25" x14ac:dyDescent="0.25">
      <c r="A130" s="57">
        <v>1804</v>
      </c>
      <c r="B130" t="s">
        <v>54</v>
      </c>
      <c r="C130" t="s">
        <v>207</v>
      </c>
      <c r="D130" s="8">
        <v>1175365</v>
      </c>
      <c r="E130" s="8">
        <v>94200</v>
      </c>
      <c r="F130" s="8">
        <v>86024</v>
      </c>
      <c r="G130" s="8">
        <v>92991</v>
      </c>
      <c r="H130" s="8">
        <v>90470</v>
      </c>
      <c r="I130" s="8">
        <v>87807</v>
      </c>
      <c r="J130" s="8">
        <v>89148</v>
      </c>
      <c r="K130" s="8">
        <v>86615</v>
      </c>
      <c r="L130" s="8">
        <v>83438</v>
      </c>
      <c r="M130" s="8">
        <v>84079</v>
      </c>
      <c r="N130" s="8">
        <v>85381</v>
      </c>
      <c r="O130" s="8">
        <v>79210</v>
      </c>
      <c r="P130" s="8">
        <v>64713</v>
      </c>
      <c r="Q130" s="8">
        <v>52344</v>
      </c>
      <c r="R130" s="8">
        <v>39734</v>
      </c>
      <c r="S130" s="8">
        <v>29121</v>
      </c>
      <c r="T130" s="8">
        <v>30090</v>
      </c>
      <c r="U130" s="7">
        <f t="shared" si="4"/>
        <v>23.245119601145177</v>
      </c>
      <c r="V130" s="7">
        <f t="shared" si="5"/>
        <v>68.33664436153876</v>
      </c>
      <c r="W130" s="7">
        <f t="shared" si="6"/>
        <v>8.4182360373160687</v>
      </c>
      <c r="X130" s="7">
        <f>SUM(I130:L130)/D130*100</f>
        <v>29.523424638303847</v>
      </c>
      <c r="Y130" s="7">
        <f t="shared" si="7"/>
        <v>46.334372918495276</v>
      </c>
    </row>
    <row r="131" spans="1:25" x14ac:dyDescent="0.25">
      <c r="A131" s="57">
        <v>1805</v>
      </c>
      <c r="B131" t="s">
        <v>54</v>
      </c>
      <c r="C131" t="s">
        <v>208</v>
      </c>
      <c r="D131" s="8">
        <v>1557290</v>
      </c>
      <c r="E131" s="8">
        <v>126174</v>
      </c>
      <c r="F131" s="8">
        <v>117017</v>
      </c>
      <c r="G131" s="8">
        <v>117940</v>
      </c>
      <c r="H131" s="8">
        <v>112087</v>
      </c>
      <c r="I131" s="8">
        <v>113460</v>
      </c>
      <c r="J131" s="8">
        <v>122109</v>
      </c>
      <c r="K131" s="8">
        <v>123282</v>
      </c>
      <c r="L131" s="8">
        <v>118689</v>
      </c>
      <c r="M131" s="8">
        <v>114241</v>
      </c>
      <c r="N131" s="8">
        <v>112550</v>
      </c>
      <c r="O131" s="8">
        <v>101995</v>
      </c>
      <c r="P131" s="8">
        <v>85131</v>
      </c>
      <c r="Q131" s="8">
        <v>70177</v>
      </c>
      <c r="R131" s="8">
        <v>51861</v>
      </c>
      <c r="S131" s="8">
        <v>35365</v>
      </c>
      <c r="T131" s="8">
        <v>35212</v>
      </c>
      <c r="U131" s="7">
        <f t="shared" ref="U131:U194" si="8">SUM(E131:G131)/D131*100</f>
        <v>23.189707761560147</v>
      </c>
      <c r="V131" s="7">
        <f t="shared" ref="V131:V194" si="9">SUM(H131:Q131)/D131*100</f>
        <v>68.948044359111009</v>
      </c>
      <c r="W131" s="7">
        <f t="shared" ref="W131:W194" si="10">SUM(R131:T131)/D131*100</f>
        <v>7.8622478793288346</v>
      </c>
      <c r="X131" s="7">
        <f>SUM(I131:L131)/D131*100</f>
        <v>30.664808738256845</v>
      </c>
      <c r="Y131" s="7">
        <f t="shared" ref="Y131:Y194" si="11">SUM(E131:G131,R131:T131)/SUM(H131:Q131)*100</f>
        <v>45.036746044829151</v>
      </c>
    </row>
    <row r="132" spans="1:25" x14ac:dyDescent="0.25">
      <c r="A132" s="57">
        <v>1806</v>
      </c>
      <c r="B132" t="s">
        <v>54</v>
      </c>
      <c r="C132" t="s">
        <v>209</v>
      </c>
      <c r="D132" s="8">
        <v>671492</v>
      </c>
      <c r="E132" s="8">
        <v>54685</v>
      </c>
      <c r="F132" s="8">
        <v>57407</v>
      </c>
      <c r="G132" s="8">
        <v>58220</v>
      </c>
      <c r="H132" s="8">
        <v>55519</v>
      </c>
      <c r="I132" s="8">
        <v>52183</v>
      </c>
      <c r="J132" s="8">
        <v>51350</v>
      </c>
      <c r="K132" s="8">
        <v>49521</v>
      </c>
      <c r="L132" s="8">
        <v>50245</v>
      </c>
      <c r="M132" s="8">
        <v>45889</v>
      </c>
      <c r="N132" s="8">
        <v>42969</v>
      </c>
      <c r="O132" s="8">
        <v>39079</v>
      </c>
      <c r="P132" s="8">
        <v>34158</v>
      </c>
      <c r="Q132" s="8">
        <v>28935</v>
      </c>
      <c r="R132" s="8">
        <v>21704</v>
      </c>
      <c r="S132" s="8">
        <v>14719</v>
      </c>
      <c r="T132" s="8">
        <v>14909</v>
      </c>
      <c r="U132" s="7">
        <f t="shared" si="8"/>
        <v>25.363221006355996</v>
      </c>
      <c r="V132" s="7">
        <f t="shared" si="9"/>
        <v>66.992309662661654</v>
      </c>
      <c r="W132" s="7">
        <f t="shared" si="10"/>
        <v>7.644469330982349</v>
      </c>
      <c r="X132" s="7">
        <f>SUM(I132:L132)/D132*100</f>
        <v>30.275714379322466</v>
      </c>
      <c r="Y132" s="7">
        <f t="shared" si="11"/>
        <v>49.270864825452151</v>
      </c>
    </row>
    <row r="133" spans="1:25" x14ac:dyDescent="0.25">
      <c r="A133" s="57">
        <v>1807</v>
      </c>
      <c r="B133" t="s">
        <v>54</v>
      </c>
      <c r="C133" t="s">
        <v>210</v>
      </c>
      <c r="D133" s="8">
        <v>509245</v>
      </c>
      <c r="E133" s="8">
        <v>42731</v>
      </c>
      <c r="F133" s="8">
        <v>45687</v>
      </c>
      <c r="G133" s="8">
        <v>44097</v>
      </c>
      <c r="H133" s="8">
        <v>40866</v>
      </c>
      <c r="I133" s="8">
        <v>38955</v>
      </c>
      <c r="J133" s="8">
        <v>38483</v>
      </c>
      <c r="K133" s="8">
        <v>39018</v>
      </c>
      <c r="L133" s="8">
        <v>40458</v>
      </c>
      <c r="M133" s="8">
        <v>37100</v>
      </c>
      <c r="N133" s="8">
        <v>33360</v>
      </c>
      <c r="O133" s="8">
        <v>28553</v>
      </c>
      <c r="P133" s="8">
        <v>23886</v>
      </c>
      <c r="Q133" s="8">
        <v>20198</v>
      </c>
      <c r="R133" s="8">
        <v>15437</v>
      </c>
      <c r="S133" s="8">
        <v>10447</v>
      </c>
      <c r="T133" s="8">
        <v>9969</v>
      </c>
      <c r="U133" s="7">
        <f t="shared" si="8"/>
        <v>26.021855884692048</v>
      </c>
      <c r="V133" s="7">
        <f t="shared" si="9"/>
        <v>66.937721528930084</v>
      </c>
      <c r="W133" s="7">
        <f t="shared" si="10"/>
        <v>7.0404225863778729</v>
      </c>
      <c r="X133" s="7">
        <f>SUM(I133:L133)/D133*100</f>
        <v>30.813066402222901</v>
      </c>
      <c r="Y133" s="7">
        <f t="shared" si="11"/>
        <v>49.392596156384855</v>
      </c>
    </row>
    <row r="134" spans="1:25" x14ac:dyDescent="0.25">
      <c r="A134" s="57">
        <v>1808</v>
      </c>
      <c r="B134" t="s">
        <v>54</v>
      </c>
      <c r="C134" t="s">
        <v>211</v>
      </c>
      <c r="D134" s="8">
        <v>460341</v>
      </c>
      <c r="E134" s="8">
        <v>38015</v>
      </c>
      <c r="F134" s="8">
        <v>37830</v>
      </c>
      <c r="G134" s="8">
        <v>40053</v>
      </c>
      <c r="H134" s="8">
        <v>38418</v>
      </c>
      <c r="I134" s="8">
        <v>35236</v>
      </c>
      <c r="J134" s="8">
        <v>35152</v>
      </c>
      <c r="K134" s="8">
        <v>36593</v>
      </c>
      <c r="L134" s="8">
        <v>35792</v>
      </c>
      <c r="M134" s="8">
        <v>33059</v>
      </c>
      <c r="N134" s="8">
        <v>30751</v>
      </c>
      <c r="O134" s="8">
        <v>28784</v>
      </c>
      <c r="P134" s="8">
        <v>24373</v>
      </c>
      <c r="Q134" s="8">
        <v>17801</v>
      </c>
      <c r="R134" s="8">
        <v>12062</v>
      </c>
      <c r="S134" s="8">
        <v>8217</v>
      </c>
      <c r="T134" s="8">
        <v>8205</v>
      </c>
      <c r="U134" s="7">
        <f t="shared" si="8"/>
        <v>25.176553902433195</v>
      </c>
      <c r="V134" s="7">
        <f t="shared" si="9"/>
        <v>68.635859069689644</v>
      </c>
      <c r="W134" s="7">
        <f t="shared" si="10"/>
        <v>6.1875870278771608</v>
      </c>
      <c r="X134" s="7">
        <f>SUM(I134:L134)/D134*100</f>
        <v>31.014617424908923</v>
      </c>
      <c r="Y134" s="7">
        <f t="shared" si="11"/>
        <v>45.696435296984731</v>
      </c>
    </row>
    <row r="135" spans="1:25" x14ac:dyDescent="0.25">
      <c r="A135" s="57">
        <v>1809</v>
      </c>
      <c r="B135" t="s">
        <v>54</v>
      </c>
      <c r="C135" t="s">
        <v>212</v>
      </c>
      <c r="D135" s="8">
        <v>512164</v>
      </c>
      <c r="E135" s="8">
        <v>41007</v>
      </c>
      <c r="F135" s="8">
        <v>44185</v>
      </c>
      <c r="G135" s="8">
        <v>43192</v>
      </c>
      <c r="H135" s="8">
        <v>40710</v>
      </c>
      <c r="I135" s="8">
        <v>41033</v>
      </c>
      <c r="J135" s="8">
        <v>40787</v>
      </c>
      <c r="K135" s="8">
        <v>37546</v>
      </c>
      <c r="L135" s="8">
        <v>36893</v>
      </c>
      <c r="M135" s="8">
        <v>36221</v>
      </c>
      <c r="N135" s="8">
        <v>34660</v>
      </c>
      <c r="O135" s="8">
        <v>30384</v>
      </c>
      <c r="P135" s="8">
        <v>25649</v>
      </c>
      <c r="Q135" s="8">
        <v>20762</v>
      </c>
      <c r="R135" s="8">
        <v>16425</v>
      </c>
      <c r="S135" s="8">
        <v>11478</v>
      </c>
      <c r="T135" s="8">
        <v>11232</v>
      </c>
      <c r="U135" s="7">
        <f t="shared" si="8"/>
        <v>25.066970735936145</v>
      </c>
      <c r="V135" s="7">
        <f t="shared" si="9"/>
        <v>67.291922118696363</v>
      </c>
      <c r="W135" s="7">
        <f t="shared" si="10"/>
        <v>7.6411071453675001</v>
      </c>
      <c r="X135" s="7">
        <f>SUM(I135:L135)/D135*100</f>
        <v>30.509563342991697</v>
      </c>
      <c r="Y135" s="7">
        <f t="shared" si="11"/>
        <v>48.606247007790628</v>
      </c>
    </row>
    <row r="136" spans="1:25" x14ac:dyDescent="0.25">
      <c r="A136" s="57">
        <v>1810</v>
      </c>
      <c r="B136" t="s">
        <v>54</v>
      </c>
      <c r="C136" t="s">
        <v>213</v>
      </c>
      <c r="D136" s="8">
        <v>434739</v>
      </c>
      <c r="E136" s="8">
        <v>35151</v>
      </c>
      <c r="F136" s="8">
        <v>34601</v>
      </c>
      <c r="G136" s="8">
        <v>35607</v>
      </c>
      <c r="H136" s="8">
        <v>32852</v>
      </c>
      <c r="I136" s="8">
        <v>33992</v>
      </c>
      <c r="J136" s="8">
        <v>34970</v>
      </c>
      <c r="K136" s="8">
        <v>32095</v>
      </c>
      <c r="L136" s="8">
        <v>30546</v>
      </c>
      <c r="M136" s="8">
        <v>29874</v>
      </c>
      <c r="N136" s="8">
        <v>29012</v>
      </c>
      <c r="O136" s="8">
        <v>27285</v>
      </c>
      <c r="P136" s="8">
        <v>24177</v>
      </c>
      <c r="Q136" s="8">
        <v>19913</v>
      </c>
      <c r="R136" s="8">
        <v>14647</v>
      </c>
      <c r="S136" s="8">
        <v>10229</v>
      </c>
      <c r="T136" s="8">
        <v>9788</v>
      </c>
      <c r="U136" s="7">
        <f t="shared" si="8"/>
        <v>24.23500077057729</v>
      </c>
      <c r="V136" s="7">
        <f t="shared" si="9"/>
        <v>67.791479485392387</v>
      </c>
      <c r="W136" s="7">
        <f t="shared" si="10"/>
        <v>7.9735197440303258</v>
      </c>
      <c r="X136" s="7">
        <f>SUM(I136:L136)/D136*100</f>
        <v>30.271726254143289</v>
      </c>
      <c r="Y136" s="7">
        <f t="shared" si="11"/>
        <v>47.511163289404038</v>
      </c>
    </row>
    <row r="137" spans="1:25" x14ac:dyDescent="0.25">
      <c r="A137" s="57">
        <v>1811</v>
      </c>
      <c r="B137" t="s">
        <v>54</v>
      </c>
      <c r="C137" t="s">
        <v>214</v>
      </c>
      <c r="D137" s="8">
        <v>248750</v>
      </c>
      <c r="E137" s="8">
        <v>22436</v>
      </c>
      <c r="F137" s="8">
        <v>20438</v>
      </c>
      <c r="G137" s="8">
        <v>21202</v>
      </c>
      <c r="H137" s="8">
        <v>19543</v>
      </c>
      <c r="I137" s="8">
        <v>18177</v>
      </c>
      <c r="J137" s="8">
        <v>19691</v>
      </c>
      <c r="K137" s="8">
        <v>22757</v>
      </c>
      <c r="L137" s="8">
        <v>21454</v>
      </c>
      <c r="M137" s="8">
        <v>18600</v>
      </c>
      <c r="N137" s="8">
        <v>15693</v>
      </c>
      <c r="O137" s="8">
        <v>13214</v>
      </c>
      <c r="P137" s="8">
        <v>10971</v>
      </c>
      <c r="Q137" s="8">
        <v>9135</v>
      </c>
      <c r="R137" s="8">
        <v>6521</v>
      </c>
      <c r="S137" s="8">
        <v>4555</v>
      </c>
      <c r="T137" s="8">
        <v>4363</v>
      </c>
      <c r="U137" s="7">
        <f t="shared" si="8"/>
        <v>25.759195979899495</v>
      </c>
      <c r="V137" s="7">
        <f t="shared" si="9"/>
        <v>68.034170854271352</v>
      </c>
      <c r="W137" s="7">
        <f t="shared" si="10"/>
        <v>6.206633165829146</v>
      </c>
      <c r="X137" s="7">
        <f>SUM(I137:L137)/D137*100</f>
        <v>32.996582914572862</v>
      </c>
      <c r="Y137" s="7">
        <f t="shared" si="11"/>
        <v>46.984961739592876</v>
      </c>
    </row>
    <row r="138" spans="1:25" x14ac:dyDescent="0.25">
      <c r="A138" s="57">
        <v>1812</v>
      </c>
      <c r="B138" t="s">
        <v>54</v>
      </c>
      <c r="C138" t="s">
        <v>215</v>
      </c>
      <c r="D138" s="8">
        <v>304759</v>
      </c>
      <c r="E138" s="8">
        <v>24377</v>
      </c>
      <c r="F138" s="8">
        <v>26216</v>
      </c>
      <c r="G138" s="8">
        <v>24913</v>
      </c>
      <c r="H138" s="8">
        <v>22204</v>
      </c>
      <c r="I138" s="8">
        <v>18461</v>
      </c>
      <c r="J138" s="8">
        <v>22016</v>
      </c>
      <c r="K138" s="8">
        <v>25156</v>
      </c>
      <c r="L138" s="8">
        <v>24776</v>
      </c>
      <c r="M138" s="8">
        <v>22919</v>
      </c>
      <c r="N138" s="8">
        <v>20624</v>
      </c>
      <c r="O138" s="8">
        <v>18966</v>
      </c>
      <c r="P138" s="8">
        <v>16585</v>
      </c>
      <c r="Q138" s="8">
        <v>13907</v>
      </c>
      <c r="R138" s="8">
        <v>9968</v>
      </c>
      <c r="S138" s="8">
        <v>6914</v>
      </c>
      <c r="T138" s="8">
        <v>6757</v>
      </c>
      <c r="U138" s="7">
        <f t="shared" si="8"/>
        <v>24.775642392841558</v>
      </c>
      <c r="V138" s="7">
        <f t="shared" si="9"/>
        <v>67.467736801866394</v>
      </c>
      <c r="W138" s="7">
        <f t="shared" si="10"/>
        <v>7.7566208052920498</v>
      </c>
      <c r="X138" s="7">
        <f>SUM(I138:L138)/D138*100</f>
        <v>29.665735876545074</v>
      </c>
      <c r="Y138" s="7">
        <f t="shared" si="11"/>
        <v>48.218992870135303</v>
      </c>
    </row>
    <row r="139" spans="1:25" x14ac:dyDescent="0.25">
      <c r="A139" s="57">
        <v>1813</v>
      </c>
      <c r="B139" t="s">
        <v>54</v>
      </c>
      <c r="C139" t="s">
        <v>216</v>
      </c>
      <c r="D139" s="8">
        <v>177385</v>
      </c>
      <c r="E139" s="8">
        <v>15989</v>
      </c>
      <c r="F139" s="8">
        <v>16724</v>
      </c>
      <c r="G139" s="8">
        <v>16195</v>
      </c>
      <c r="H139" s="8">
        <v>15225</v>
      </c>
      <c r="I139" s="8">
        <v>14122</v>
      </c>
      <c r="J139" s="8">
        <v>14080</v>
      </c>
      <c r="K139" s="8">
        <v>13253</v>
      </c>
      <c r="L139" s="8">
        <v>13124</v>
      </c>
      <c r="M139" s="8">
        <v>11870</v>
      </c>
      <c r="N139" s="8">
        <v>10707</v>
      </c>
      <c r="O139" s="8">
        <v>9367</v>
      </c>
      <c r="P139" s="8">
        <v>8172</v>
      </c>
      <c r="Q139" s="8">
        <v>6834</v>
      </c>
      <c r="R139" s="8">
        <v>5113</v>
      </c>
      <c r="S139" s="8">
        <v>3417</v>
      </c>
      <c r="T139" s="8">
        <v>3193</v>
      </c>
      <c r="U139" s="7">
        <f t="shared" si="8"/>
        <v>27.571666149899936</v>
      </c>
      <c r="V139" s="7">
        <f t="shared" si="9"/>
        <v>65.819545057361111</v>
      </c>
      <c r="W139" s="7">
        <f t="shared" si="10"/>
        <v>6.6087887927389577</v>
      </c>
      <c r="X139" s="7">
        <f>SUM(I139:L139)/D139*100</f>
        <v>30.768667023705497</v>
      </c>
      <c r="Y139" s="7">
        <f t="shared" si="11"/>
        <v>51.930554841804131</v>
      </c>
    </row>
    <row r="140" spans="1:25" x14ac:dyDescent="0.25">
      <c r="A140" s="57">
        <v>1871</v>
      </c>
      <c r="B140" t="s">
        <v>54</v>
      </c>
      <c r="C140" t="s">
        <v>217</v>
      </c>
      <c r="D140" s="8">
        <v>1237627</v>
      </c>
      <c r="E140" s="8">
        <v>101661</v>
      </c>
      <c r="F140" s="8">
        <v>93361</v>
      </c>
      <c r="G140" s="8">
        <v>93165</v>
      </c>
      <c r="H140" s="8">
        <v>89805</v>
      </c>
      <c r="I140" s="8">
        <v>92475</v>
      </c>
      <c r="J140" s="8">
        <v>92680</v>
      </c>
      <c r="K140" s="8">
        <v>97678</v>
      </c>
      <c r="L140" s="8">
        <v>102873</v>
      </c>
      <c r="M140" s="8">
        <v>99002</v>
      </c>
      <c r="N140" s="8">
        <v>87325</v>
      </c>
      <c r="O140" s="8">
        <v>75347</v>
      </c>
      <c r="P140" s="8">
        <v>65625</v>
      </c>
      <c r="Q140" s="8">
        <v>51836</v>
      </c>
      <c r="R140" s="8">
        <v>39512</v>
      </c>
      <c r="S140" s="8">
        <v>26912</v>
      </c>
      <c r="T140" s="8">
        <v>28370</v>
      </c>
      <c r="U140" s="7">
        <f t="shared" si="8"/>
        <v>23.285448685266239</v>
      </c>
      <c r="V140" s="7">
        <f t="shared" si="9"/>
        <v>69.055216151554546</v>
      </c>
      <c r="W140" s="7">
        <f t="shared" si="10"/>
        <v>7.6593351631792137</v>
      </c>
      <c r="X140" s="7">
        <f>SUM(I140:L140)/D140*100</f>
        <v>31.164963272456081</v>
      </c>
      <c r="Y140" s="7">
        <f t="shared" si="11"/>
        <v>44.8116530118903</v>
      </c>
    </row>
    <row r="141" spans="1:25" x14ac:dyDescent="0.25">
      <c r="A141" s="57">
        <v>1872</v>
      </c>
      <c r="B141" t="s">
        <v>54</v>
      </c>
      <c r="C141" t="s">
        <v>218</v>
      </c>
      <c r="D141" s="8">
        <v>179309</v>
      </c>
      <c r="E141" s="8">
        <v>13723</v>
      </c>
      <c r="F141" s="8">
        <v>14804</v>
      </c>
      <c r="G141" s="8">
        <v>14071</v>
      </c>
      <c r="H141" s="8">
        <v>13006</v>
      </c>
      <c r="I141" s="8">
        <v>13534</v>
      </c>
      <c r="J141" s="8">
        <v>13962</v>
      </c>
      <c r="K141" s="8">
        <v>13716</v>
      </c>
      <c r="L141" s="8">
        <v>12929</v>
      </c>
      <c r="M141" s="8">
        <v>12270</v>
      </c>
      <c r="N141" s="8">
        <v>12359</v>
      </c>
      <c r="O141" s="8">
        <v>11968</v>
      </c>
      <c r="P141" s="8">
        <v>10593</v>
      </c>
      <c r="Q141" s="8">
        <v>8212</v>
      </c>
      <c r="R141" s="8">
        <v>6213</v>
      </c>
      <c r="S141" s="8">
        <v>4248</v>
      </c>
      <c r="T141" s="8">
        <v>3701</v>
      </c>
      <c r="U141" s="7">
        <f t="shared" si="8"/>
        <v>23.756755098740165</v>
      </c>
      <c r="V141" s="7">
        <f t="shared" si="9"/>
        <v>68.345147203988645</v>
      </c>
      <c r="W141" s="7">
        <f t="shared" si="10"/>
        <v>7.8980976972711909</v>
      </c>
      <c r="X141" s="7">
        <f>SUM(I141:L141)/D141*100</f>
        <v>30.194245687611886</v>
      </c>
      <c r="Y141" s="7">
        <f t="shared" si="11"/>
        <v>46.316167410586786</v>
      </c>
    </row>
    <row r="142" spans="1:25" x14ac:dyDescent="0.25">
      <c r="A142" s="57">
        <v>1901</v>
      </c>
      <c r="B142" t="s">
        <v>55</v>
      </c>
      <c r="C142" t="s">
        <v>219</v>
      </c>
      <c r="D142" s="8">
        <v>350006</v>
      </c>
      <c r="E142" s="8">
        <v>30054</v>
      </c>
      <c r="F142" s="8">
        <v>27493</v>
      </c>
      <c r="G142" s="8">
        <v>25769</v>
      </c>
      <c r="H142" s="8">
        <v>28128</v>
      </c>
      <c r="I142" s="8">
        <v>28428</v>
      </c>
      <c r="J142" s="8">
        <v>28039</v>
      </c>
      <c r="K142" s="8">
        <v>26666</v>
      </c>
      <c r="L142" s="8">
        <v>27376</v>
      </c>
      <c r="M142" s="8">
        <v>25955</v>
      </c>
      <c r="N142" s="8">
        <v>24293</v>
      </c>
      <c r="O142" s="8">
        <v>21478</v>
      </c>
      <c r="P142" s="8">
        <v>17609</v>
      </c>
      <c r="Q142" s="8">
        <v>13948</v>
      </c>
      <c r="R142" s="8">
        <v>10702</v>
      </c>
      <c r="S142" s="8">
        <v>7680</v>
      </c>
      <c r="T142" s="8">
        <v>6388</v>
      </c>
      <c r="U142" s="7">
        <f t="shared" si="8"/>
        <v>23.804163357199588</v>
      </c>
      <c r="V142" s="7">
        <f t="shared" si="9"/>
        <v>69.118815106026759</v>
      </c>
      <c r="W142" s="7">
        <f t="shared" si="10"/>
        <v>7.0770215367736551</v>
      </c>
      <c r="X142" s="7">
        <f>SUM(I142:L142)/D142*100</f>
        <v>31.573458740707299</v>
      </c>
      <c r="Y142" s="7">
        <f t="shared" si="11"/>
        <v>44.678406084656089</v>
      </c>
    </row>
    <row r="143" spans="1:25" x14ac:dyDescent="0.25">
      <c r="A143" s="57">
        <v>1902</v>
      </c>
      <c r="B143" t="s">
        <v>55</v>
      </c>
      <c r="C143" t="s">
        <v>220</v>
      </c>
      <c r="D143" s="8">
        <v>195675</v>
      </c>
      <c r="E143" s="8">
        <v>15724</v>
      </c>
      <c r="F143" s="8">
        <v>14583</v>
      </c>
      <c r="G143" s="8">
        <v>13293</v>
      </c>
      <c r="H143" s="8">
        <v>14064</v>
      </c>
      <c r="I143" s="8">
        <v>15038</v>
      </c>
      <c r="J143" s="8">
        <v>16175</v>
      </c>
      <c r="K143" s="8">
        <v>16631</v>
      </c>
      <c r="L143" s="8">
        <v>14198</v>
      </c>
      <c r="M143" s="8">
        <v>13977</v>
      </c>
      <c r="N143" s="8">
        <v>13709</v>
      </c>
      <c r="O143" s="8">
        <v>13111</v>
      </c>
      <c r="P143" s="8">
        <v>10893</v>
      </c>
      <c r="Q143" s="8">
        <v>8881</v>
      </c>
      <c r="R143" s="8">
        <v>6411</v>
      </c>
      <c r="S143" s="8">
        <v>4389</v>
      </c>
      <c r="T143" s="8">
        <v>4598</v>
      </c>
      <c r="U143" s="7">
        <f t="shared" si="8"/>
        <v>22.28184489587326</v>
      </c>
      <c r="V143" s="7">
        <f t="shared" si="9"/>
        <v>69.848984285166722</v>
      </c>
      <c r="W143" s="7">
        <f t="shared" si="10"/>
        <v>7.8691708189600096</v>
      </c>
      <c r="X143" s="7">
        <f>SUM(I143:L143)/D143*100</f>
        <v>31.706656445636899</v>
      </c>
      <c r="Y143" s="7">
        <f t="shared" si="11"/>
        <v>43.166004521609338</v>
      </c>
    </row>
    <row r="144" spans="1:25" x14ac:dyDescent="0.25">
      <c r="A144" s="57">
        <v>1903</v>
      </c>
      <c r="B144" t="s">
        <v>55</v>
      </c>
      <c r="C144" t="s">
        <v>221</v>
      </c>
      <c r="D144" s="8">
        <v>221628</v>
      </c>
      <c r="E144" s="8">
        <v>18351</v>
      </c>
      <c r="F144" s="8">
        <v>17674</v>
      </c>
      <c r="G144" s="8">
        <v>17393</v>
      </c>
      <c r="H144" s="8">
        <v>18779</v>
      </c>
      <c r="I144" s="8">
        <v>18780</v>
      </c>
      <c r="J144" s="8">
        <v>17836</v>
      </c>
      <c r="K144" s="8">
        <v>16403</v>
      </c>
      <c r="L144" s="8">
        <v>17817</v>
      </c>
      <c r="M144" s="8">
        <v>17088</v>
      </c>
      <c r="N144" s="8">
        <v>15759</v>
      </c>
      <c r="O144" s="8">
        <v>13492</v>
      </c>
      <c r="P144" s="8">
        <v>10561</v>
      </c>
      <c r="Q144" s="8">
        <v>8094</v>
      </c>
      <c r="R144" s="8">
        <v>6034</v>
      </c>
      <c r="S144" s="8">
        <v>4097</v>
      </c>
      <c r="T144" s="8">
        <v>3470</v>
      </c>
      <c r="U144" s="7">
        <f t="shared" si="8"/>
        <v>24.102550219286371</v>
      </c>
      <c r="V144" s="7">
        <f t="shared" si="9"/>
        <v>69.760589817171109</v>
      </c>
      <c r="W144" s="7">
        <f t="shared" si="10"/>
        <v>6.1368599635425127</v>
      </c>
      <c r="X144" s="7">
        <f>SUM(I144:L144)/D144*100</f>
        <v>31.961665493529701</v>
      </c>
      <c r="Y144" s="7">
        <f t="shared" si="11"/>
        <v>43.347411858300617</v>
      </c>
    </row>
    <row r="145" spans="1:25" x14ac:dyDescent="0.25">
      <c r="A145" s="57">
        <v>1904</v>
      </c>
      <c r="B145" t="s">
        <v>55</v>
      </c>
      <c r="C145" t="s">
        <v>222</v>
      </c>
      <c r="D145" s="8">
        <v>216454</v>
      </c>
      <c r="E145" s="8">
        <v>19083</v>
      </c>
      <c r="F145" s="8">
        <v>17216</v>
      </c>
      <c r="G145" s="8">
        <v>17271</v>
      </c>
      <c r="H145" s="8">
        <v>18118</v>
      </c>
      <c r="I145" s="8">
        <v>18371</v>
      </c>
      <c r="J145" s="8">
        <v>17465</v>
      </c>
      <c r="K145" s="8">
        <v>16903</v>
      </c>
      <c r="L145" s="8">
        <v>18218</v>
      </c>
      <c r="M145" s="8">
        <v>17027</v>
      </c>
      <c r="N145" s="8">
        <v>14762</v>
      </c>
      <c r="O145" s="8">
        <v>12450</v>
      </c>
      <c r="P145" s="8">
        <v>9862</v>
      </c>
      <c r="Q145" s="8">
        <v>7794</v>
      </c>
      <c r="R145" s="8">
        <v>5748</v>
      </c>
      <c r="S145" s="8">
        <v>3554</v>
      </c>
      <c r="T145" s="8">
        <v>2612</v>
      </c>
      <c r="U145" s="7">
        <f t="shared" si="8"/>
        <v>24.748907389098839</v>
      </c>
      <c r="V145" s="7">
        <f t="shared" si="9"/>
        <v>69.746920823823999</v>
      </c>
      <c r="W145" s="7">
        <f t="shared" si="10"/>
        <v>5.504171787077162</v>
      </c>
      <c r="X145" s="7">
        <f>SUM(I145:L145)/D145*100</f>
        <v>32.781560978314097</v>
      </c>
      <c r="Y145" s="7">
        <f t="shared" si="11"/>
        <v>43.375505067231899</v>
      </c>
    </row>
    <row r="146" spans="1:25" x14ac:dyDescent="0.25">
      <c r="A146" s="57">
        <v>1905</v>
      </c>
      <c r="B146" t="s">
        <v>55</v>
      </c>
      <c r="C146" t="s">
        <v>223</v>
      </c>
      <c r="D146" s="8">
        <v>213683</v>
      </c>
      <c r="E146" s="8">
        <v>17976</v>
      </c>
      <c r="F146" s="8">
        <v>15212</v>
      </c>
      <c r="G146" s="8">
        <v>15983</v>
      </c>
      <c r="H146" s="8">
        <v>17245</v>
      </c>
      <c r="I146" s="8">
        <v>17873</v>
      </c>
      <c r="J146" s="8">
        <v>17913</v>
      </c>
      <c r="K146" s="8">
        <v>17783</v>
      </c>
      <c r="L146" s="8">
        <v>18134</v>
      </c>
      <c r="M146" s="8">
        <v>16771</v>
      </c>
      <c r="N146" s="8">
        <v>15080</v>
      </c>
      <c r="O146" s="8">
        <v>13124</v>
      </c>
      <c r="P146" s="8">
        <v>10852</v>
      </c>
      <c r="Q146" s="8">
        <v>8317</v>
      </c>
      <c r="R146" s="8">
        <v>5578</v>
      </c>
      <c r="S146" s="8">
        <v>3099</v>
      </c>
      <c r="T146" s="8">
        <v>2743</v>
      </c>
      <c r="U146" s="7">
        <f t="shared" si="8"/>
        <v>23.01118947225563</v>
      </c>
      <c r="V146" s="7">
        <f t="shared" si="9"/>
        <v>71.644445276414132</v>
      </c>
      <c r="W146" s="7">
        <f t="shared" si="10"/>
        <v>5.3443652513302418</v>
      </c>
      <c r="X146" s="7">
        <f>SUM(I146:L146)/D146*100</f>
        <v>33.555781227332076</v>
      </c>
      <c r="Y146" s="7">
        <f t="shared" si="11"/>
        <v>39.578162150863534</v>
      </c>
    </row>
    <row r="147" spans="1:25" x14ac:dyDescent="0.25">
      <c r="A147" s="57">
        <v>1906</v>
      </c>
      <c r="B147" t="s">
        <v>55</v>
      </c>
      <c r="C147" t="s">
        <v>224</v>
      </c>
      <c r="D147" s="8">
        <v>135877</v>
      </c>
      <c r="E147" s="8">
        <v>10425</v>
      </c>
      <c r="F147" s="8">
        <v>9954</v>
      </c>
      <c r="G147" s="8">
        <v>9434</v>
      </c>
      <c r="H147" s="8">
        <v>9719</v>
      </c>
      <c r="I147" s="8">
        <v>10784</v>
      </c>
      <c r="J147" s="8">
        <v>10948</v>
      </c>
      <c r="K147" s="8">
        <v>10831</v>
      </c>
      <c r="L147" s="8">
        <v>9524</v>
      </c>
      <c r="M147" s="8">
        <v>9866</v>
      </c>
      <c r="N147" s="8">
        <v>10466</v>
      </c>
      <c r="O147" s="8">
        <v>9664</v>
      </c>
      <c r="P147" s="8">
        <v>7795</v>
      </c>
      <c r="Q147" s="8">
        <v>5963</v>
      </c>
      <c r="R147" s="8">
        <v>4369</v>
      </c>
      <c r="S147" s="8">
        <v>3164</v>
      </c>
      <c r="T147" s="8">
        <v>2971</v>
      </c>
      <c r="U147" s="7">
        <f t="shared" si="8"/>
        <v>21.941167379321001</v>
      </c>
      <c r="V147" s="7">
        <f t="shared" si="9"/>
        <v>70.32831163478734</v>
      </c>
      <c r="W147" s="7">
        <f t="shared" si="10"/>
        <v>7.7305209858916522</v>
      </c>
      <c r="X147" s="7">
        <f>SUM(I147:L147)/D147*100</f>
        <v>30.974337084274751</v>
      </c>
      <c r="Y147" s="7">
        <f t="shared" si="11"/>
        <v>42.19024696525743</v>
      </c>
    </row>
    <row r="148" spans="1:25" x14ac:dyDescent="0.25">
      <c r="A148" s="57">
        <v>1971</v>
      </c>
      <c r="B148" t="s">
        <v>55</v>
      </c>
      <c r="C148" t="s">
        <v>225</v>
      </c>
      <c r="D148" s="8">
        <v>236426</v>
      </c>
      <c r="E148" s="8">
        <v>20032</v>
      </c>
      <c r="F148" s="8">
        <v>20354</v>
      </c>
      <c r="G148" s="8">
        <v>17666</v>
      </c>
      <c r="H148" s="8">
        <v>18151</v>
      </c>
      <c r="I148" s="8">
        <v>17393</v>
      </c>
      <c r="J148" s="8">
        <v>17764</v>
      </c>
      <c r="K148" s="8">
        <v>19200</v>
      </c>
      <c r="L148" s="8">
        <v>19501</v>
      </c>
      <c r="M148" s="8">
        <v>18342</v>
      </c>
      <c r="N148" s="8">
        <v>16525</v>
      </c>
      <c r="O148" s="8">
        <v>13909</v>
      </c>
      <c r="P148" s="8">
        <v>11389</v>
      </c>
      <c r="Q148" s="8">
        <v>9210</v>
      </c>
      <c r="R148" s="8">
        <v>7436</v>
      </c>
      <c r="S148" s="8">
        <v>5268</v>
      </c>
      <c r="T148" s="8">
        <v>4286</v>
      </c>
      <c r="U148" s="7">
        <f t="shared" si="8"/>
        <v>24.553983064468373</v>
      </c>
      <c r="V148" s="7">
        <f t="shared" si="9"/>
        <v>68.259836058639905</v>
      </c>
      <c r="W148" s="7">
        <f t="shared" si="10"/>
        <v>7.1861808768917124</v>
      </c>
      <c r="X148" s="7">
        <f>SUM(I148:L148)/D148*100</f>
        <v>31.239372996201769</v>
      </c>
      <c r="Y148" s="7">
        <f t="shared" si="11"/>
        <v>46.499033361423685</v>
      </c>
    </row>
    <row r="149" spans="1:25" x14ac:dyDescent="0.25">
      <c r="A149" s="57">
        <v>2101</v>
      </c>
      <c r="B149" t="s">
        <v>56</v>
      </c>
      <c r="C149" t="s">
        <v>226</v>
      </c>
      <c r="D149" s="8">
        <v>268590</v>
      </c>
      <c r="E149" s="8">
        <v>21955</v>
      </c>
      <c r="F149" s="8">
        <v>23031</v>
      </c>
      <c r="G149" s="8">
        <v>23165</v>
      </c>
      <c r="H149" s="8">
        <v>18995</v>
      </c>
      <c r="I149" s="8">
        <v>19669</v>
      </c>
      <c r="J149" s="8">
        <v>20223</v>
      </c>
      <c r="K149" s="8">
        <v>19868</v>
      </c>
      <c r="L149" s="8">
        <v>19983</v>
      </c>
      <c r="M149" s="8">
        <v>19499</v>
      </c>
      <c r="N149" s="8">
        <v>18893</v>
      </c>
      <c r="O149" s="8">
        <v>16897</v>
      </c>
      <c r="P149" s="8">
        <v>14239</v>
      </c>
      <c r="Q149" s="8">
        <v>12339</v>
      </c>
      <c r="R149" s="8">
        <v>8787</v>
      </c>
      <c r="S149" s="8">
        <v>5601</v>
      </c>
      <c r="T149" s="8">
        <v>5446</v>
      </c>
      <c r="U149" s="7">
        <f t="shared" si="8"/>
        <v>25.373617781749136</v>
      </c>
      <c r="V149" s="7">
        <f t="shared" si="9"/>
        <v>67.24189284783499</v>
      </c>
      <c r="W149" s="7">
        <f t="shared" si="10"/>
        <v>7.3844893704158752</v>
      </c>
      <c r="X149" s="7">
        <f>SUM(I149:L149)/D149*100</f>
        <v>29.689489556573218</v>
      </c>
      <c r="Y149" s="7">
        <f t="shared" si="11"/>
        <v>48.716812934304144</v>
      </c>
    </row>
    <row r="150" spans="1:25" x14ac:dyDescent="0.25">
      <c r="A150" s="57">
        <v>2102</v>
      </c>
      <c r="B150" t="s">
        <v>56</v>
      </c>
      <c r="C150" t="s">
        <v>227</v>
      </c>
      <c r="D150" s="8">
        <v>172663</v>
      </c>
      <c r="E150" s="8">
        <v>13980</v>
      </c>
      <c r="F150" s="8">
        <v>14327</v>
      </c>
      <c r="G150" s="8">
        <v>14887</v>
      </c>
      <c r="H150" s="8">
        <v>13697</v>
      </c>
      <c r="I150" s="8">
        <v>13465</v>
      </c>
      <c r="J150" s="8">
        <v>12452</v>
      </c>
      <c r="K150" s="8">
        <v>12237</v>
      </c>
      <c r="L150" s="8">
        <v>13148</v>
      </c>
      <c r="M150" s="8">
        <v>14108</v>
      </c>
      <c r="N150" s="8">
        <v>13291</v>
      </c>
      <c r="O150" s="8">
        <v>11450</v>
      </c>
      <c r="P150" s="8">
        <v>8734</v>
      </c>
      <c r="Q150" s="8">
        <v>6901</v>
      </c>
      <c r="R150" s="8">
        <v>4611</v>
      </c>
      <c r="S150" s="8">
        <v>2725</v>
      </c>
      <c r="T150" s="8">
        <v>2650</v>
      </c>
      <c r="U150" s="7">
        <f t="shared" si="8"/>
        <v>25.01636135130283</v>
      </c>
      <c r="V150" s="7">
        <f t="shared" si="9"/>
        <v>69.200118149227109</v>
      </c>
      <c r="W150" s="7">
        <f t="shared" si="10"/>
        <v>5.7835204994700655</v>
      </c>
      <c r="X150" s="7">
        <f>SUM(I150:L150)/D150*100</f>
        <v>29.712213965933636</v>
      </c>
      <c r="Y150" s="7">
        <f t="shared" si="11"/>
        <v>44.508423792506044</v>
      </c>
    </row>
    <row r="151" spans="1:25" x14ac:dyDescent="0.25">
      <c r="A151" s="57">
        <v>2103</v>
      </c>
      <c r="B151" t="s">
        <v>56</v>
      </c>
      <c r="C151" t="s">
        <v>228</v>
      </c>
      <c r="D151" s="8">
        <v>87825</v>
      </c>
      <c r="E151" s="8">
        <v>7689</v>
      </c>
      <c r="F151" s="8">
        <v>7766</v>
      </c>
      <c r="G151" s="8">
        <v>7945</v>
      </c>
      <c r="H151" s="8">
        <v>7430</v>
      </c>
      <c r="I151" s="8">
        <v>7547</v>
      </c>
      <c r="J151" s="8">
        <v>6689</v>
      </c>
      <c r="K151" s="8">
        <v>6201</v>
      </c>
      <c r="L151" s="8">
        <v>6520</v>
      </c>
      <c r="M151" s="8">
        <v>6434</v>
      </c>
      <c r="N151" s="8">
        <v>5844</v>
      </c>
      <c r="O151" s="8">
        <v>5079</v>
      </c>
      <c r="P151" s="8">
        <v>3975</v>
      </c>
      <c r="Q151" s="8">
        <v>3294</v>
      </c>
      <c r="R151" s="8">
        <v>2428</v>
      </c>
      <c r="S151" s="8">
        <v>1527</v>
      </c>
      <c r="T151" s="8">
        <v>1457</v>
      </c>
      <c r="U151" s="7">
        <f t="shared" si="8"/>
        <v>26.643894107600342</v>
      </c>
      <c r="V151" s="7">
        <f t="shared" si="9"/>
        <v>67.193851409052101</v>
      </c>
      <c r="W151" s="7">
        <f t="shared" si="10"/>
        <v>6.1622544833475663</v>
      </c>
      <c r="X151" s="7">
        <f>SUM(I151:L151)/D151*100</f>
        <v>30.693993737546254</v>
      </c>
      <c r="Y151" s="7">
        <f t="shared" si="11"/>
        <v>48.823140663921514</v>
      </c>
    </row>
    <row r="152" spans="1:25" x14ac:dyDescent="0.25">
      <c r="A152" s="57">
        <v>2104</v>
      </c>
      <c r="B152" t="s">
        <v>56</v>
      </c>
      <c r="C152" t="s">
        <v>229</v>
      </c>
      <c r="D152" s="8">
        <v>103880</v>
      </c>
      <c r="E152" s="8">
        <v>8263</v>
      </c>
      <c r="F152" s="8">
        <v>8106</v>
      </c>
      <c r="G152" s="8">
        <v>8480</v>
      </c>
      <c r="H152" s="8">
        <v>7884</v>
      </c>
      <c r="I152" s="8">
        <v>8939</v>
      </c>
      <c r="J152" s="8">
        <v>7333</v>
      </c>
      <c r="K152" s="8">
        <v>6942</v>
      </c>
      <c r="L152" s="8">
        <v>7807</v>
      </c>
      <c r="M152" s="8">
        <v>7911</v>
      </c>
      <c r="N152" s="8">
        <v>7122</v>
      </c>
      <c r="O152" s="8">
        <v>6341</v>
      </c>
      <c r="P152" s="8">
        <v>5225</v>
      </c>
      <c r="Q152" s="8">
        <v>4586</v>
      </c>
      <c r="R152" s="8">
        <v>3708</v>
      </c>
      <c r="S152" s="8">
        <v>2641</v>
      </c>
      <c r="T152" s="8">
        <v>2592</v>
      </c>
      <c r="U152" s="7">
        <f t="shared" si="8"/>
        <v>23.920870234886408</v>
      </c>
      <c r="V152" s="7">
        <f t="shared" si="9"/>
        <v>67.4720831728918</v>
      </c>
      <c r="W152" s="7">
        <f t="shared" si="10"/>
        <v>8.6070465922217938</v>
      </c>
      <c r="X152" s="7">
        <f>SUM(I152:L152)/D152*100</f>
        <v>29.862341162880245</v>
      </c>
      <c r="Y152" s="7">
        <f t="shared" si="11"/>
        <v>48.209444999286632</v>
      </c>
    </row>
    <row r="153" spans="1:25" x14ac:dyDescent="0.25">
      <c r="A153" s="57">
        <v>2105</v>
      </c>
      <c r="B153" t="s">
        <v>56</v>
      </c>
      <c r="C153" t="s">
        <v>230</v>
      </c>
      <c r="D153" s="8">
        <v>50983</v>
      </c>
      <c r="E153" s="8">
        <v>4537</v>
      </c>
      <c r="F153" s="8">
        <v>4561</v>
      </c>
      <c r="G153" s="8">
        <v>4410</v>
      </c>
      <c r="H153" s="8">
        <v>4204</v>
      </c>
      <c r="I153" s="8">
        <v>4262</v>
      </c>
      <c r="J153" s="8">
        <v>3819</v>
      </c>
      <c r="K153" s="8">
        <v>3723</v>
      </c>
      <c r="L153" s="8">
        <v>4023</v>
      </c>
      <c r="M153" s="8">
        <v>3641</v>
      </c>
      <c r="N153" s="8">
        <v>3304</v>
      </c>
      <c r="O153" s="8">
        <v>3037</v>
      </c>
      <c r="P153" s="8">
        <v>2386</v>
      </c>
      <c r="Q153" s="8">
        <v>1946</v>
      </c>
      <c r="R153" s="8">
        <v>1420</v>
      </c>
      <c r="S153" s="8">
        <v>890</v>
      </c>
      <c r="T153" s="8">
        <v>820</v>
      </c>
      <c r="U153" s="7">
        <f t="shared" si="8"/>
        <v>26.495106211874546</v>
      </c>
      <c r="V153" s="7">
        <f t="shared" si="9"/>
        <v>67.365592452386096</v>
      </c>
      <c r="W153" s="7">
        <f t="shared" si="10"/>
        <v>6.139301335739364</v>
      </c>
      <c r="X153" s="7">
        <f>SUM(I153:L153)/D153*100</f>
        <v>31.043681227075691</v>
      </c>
      <c r="Y153" s="7">
        <f t="shared" si="11"/>
        <v>48.443732712185181</v>
      </c>
    </row>
    <row r="154" spans="1:25" x14ac:dyDescent="0.25">
      <c r="A154" s="57">
        <v>2171</v>
      </c>
      <c r="B154" t="s">
        <v>56</v>
      </c>
      <c r="C154" t="s">
        <v>231</v>
      </c>
      <c r="D154" s="8">
        <v>1316743</v>
      </c>
      <c r="E154" s="8">
        <v>118109</v>
      </c>
      <c r="F154" s="8">
        <v>112236</v>
      </c>
      <c r="G154" s="8">
        <v>109262</v>
      </c>
      <c r="H154" s="8">
        <v>103069</v>
      </c>
      <c r="I154" s="8">
        <v>101853</v>
      </c>
      <c r="J154" s="8">
        <v>114242</v>
      </c>
      <c r="K154" s="8">
        <v>112710</v>
      </c>
      <c r="L154" s="8">
        <v>113230</v>
      </c>
      <c r="M154" s="8">
        <v>104226</v>
      </c>
      <c r="N154" s="8">
        <v>97331</v>
      </c>
      <c r="O154" s="8">
        <v>83530</v>
      </c>
      <c r="P154" s="8">
        <v>61024</v>
      </c>
      <c r="Q154" s="8">
        <v>39867</v>
      </c>
      <c r="R154" s="8">
        <v>22798</v>
      </c>
      <c r="S154" s="8">
        <v>12751</v>
      </c>
      <c r="T154" s="8">
        <v>10505</v>
      </c>
      <c r="U154" s="7">
        <f t="shared" si="8"/>
        <v>25.791441458204069</v>
      </c>
      <c r="V154" s="7">
        <f t="shared" si="9"/>
        <v>70.710989160375263</v>
      </c>
      <c r="W154" s="7">
        <f t="shared" si="10"/>
        <v>3.4975693814206719</v>
      </c>
      <c r="X154" s="7">
        <f>SUM(I154:L154)/D154*100</f>
        <v>33.570332251623888</v>
      </c>
      <c r="Y154" s="7">
        <f t="shared" si="11"/>
        <v>41.420734156604894</v>
      </c>
    </row>
    <row r="155" spans="1:25" x14ac:dyDescent="0.25">
      <c r="A155" s="57">
        <v>2172</v>
      </c>
      <c r="B155" t="s">
        <v>56</v>
      </c>
      <c r="C155" t="s">
        <v>232</v>
      </c>
      <c r="D155" s="8">
        <v>242421</v>
      </c>
      <c r="E155" s="8">
        <v>18453</v>
      </c>
      <c r="F155" s="8">
        <v>19085</v>
      </c>
      <c r="G155" s="8">
        <v>20400</v>
      </c>
      <c r="H155" s="8">
        <v>19116</v>
      </c>
      <c r="I155" s="8">
        <v>19277</v>
      </c>
      <c r="J155" s="8">
        <v>17939</v>
      </c>
      <c r="K155" s="8">
        <v>17877</v>
      </c>
      <c r="L155" s="8">
        <v>17688</v>
      </c>
      <c r="M155" s="8">
        <v>18361</v>
      </c>
      <c r="N155" s="8">
        <v>17562</v>
      </c>
      <c r="O155" s="8">
        <v>15765</v>
      </c>
      <c r="P155" s="8">
        <v>12787</v>
      </c>
      <c r="Q155" s="8">
        <v>10750</v>
      </c>
      <c r="R155" s="8">
        <v>7761</v>
      </c>
      <c r="S155" s="8">
        <v>4862</v>
      </c>
      <c r="T155" s="8">
        <v>4738</v>
      </c>
      <c r="U155" s="7">
        <f t="shared" si="8"/>
        <v>23.899744659084813</v>
      </c>
      <c r="V155" s="7">
        <f t="shared" si="9"/>
        <v>68.938747055741871</v>
      </c>
      <c r="W155" s="7">
        <f t="shared" si="10"/>
        <v>7.1615082851733138</v>
      </c>
      <c r="X155" s="7">
        <f>SUM(I155:L155)/D155*100</f>
        <v>30.022564051794191</v>
      </c>
      <c r="Y155" s="7">
        <f t="shared" si="11"/>
        <v>45.056306171539354</v>
      </c>
    </row>
    <row r="156" spans="1:25" x14ac:dyDescent="0.25">
      <c r="A156" s="57">
        <v>3101</v>
      </c>
      <c r="B156" t="s">
        <v>57</v>
      </c>
      <c r="C156" t="s">
        <v>233</v>
      </c>
      <c r="D156" s="8">
        <v>29355</v>
      </c>
      <c r="E156" s="8">
        <v>2555</v>
      </c>
      <c r="F156" s="8">
        <v>2769</v>
      </c>
      <c r="G156" s="8">
        <v>2430</v>
      </c>
      <c r="H156" s="8">
        <v>2270</v>
      </c>
      <c r="I156" s="8">
        <v>2543</v>
      </c>
      <c r="J156" s="8">
        <v>2593</v>
      </c>
      <c r="K156" s="8">
        <v>2303</v>
      </c>
      <c r="L156" s="8">
        <v>2213</v>
      </c>
      <c r="M156" s="8">
        <v>2054</v>
      </c>
      <c r="N156" s="8">
        <v>1867</v>
      </c>
      <c r="O156" s="8">
        <v>1665</v>
      </c>
      <c r="P156" s="8">
        <v>1432</v>
      </c>
      <c r="Q156" s="8">
        <v>1134</v>
      </c>
      <c r="R156" s="8">
        <v>749</v>
      </c>
      <c r="S156" s="8">
        <v>435</v>
      </c>
      <c r="T156" s="8">
        <v>343</v>
      </c>
      <c r="U156" s="7">
        <f t="shared" si="8"/>
        <v>26.414580139669564</v>
      </c>
      <c r="V156" s="7">
        <f t="shared" si="9"/>
        <v>68.383580309998294</v>
      </c>
      <c r="W156" s="7">
        <f t="shared" si="10"/>
        <v>5.2018395503321404</v>
      </c>
      <c r="X156" s="7">
        <f>SUM(I156:L156)/D156*100</f>
        <v>32.88025889967637</v>
      </c>
      <c r="Y156" s="7">
        <f t="shared" si="11"/>
        <v>46.233934442562521</v>
      </c>
    </row>
    <row r="157" spans="1:25" x14ac:dyDescent="0.25">
      <c r="A157" s="57">
        <v>3171</v>
      </c>
      <c r="B157" t="s">
        <v>57</v>
      </c>
      <c r="C157" t="s">
        <v>234</v>
      </c>
      <c r="D157" s="8">
        <v>2207857</v>
      </c>
      <c r="E157" s="8">
        <v>140767</v>
      </c>
      <c r="F157" s="8">
        <v>148618</v>
      </c>
      <c r="G157" s="8">
        <v>155731</v>
      </c>
      <c r="H157" s="8">
        <v>163369</v>
      </c>
      <c r="I157" s="8">
        <v>165819</v>
      </c>
      <c r="J157" s="8">
        <v>165689</v>
      </c>
      <c r="K157" s="8">
        <v>161843</v>
      </c>
      <c r="L157" s="8">
        <v>165378</v>
      </c>
      <c r="M157" s="8">
        <v>166918</v>
      </c>
      <c r="N157" s="8">
        <v>172823</v>
      </c>
      <c r="O157" s="8">
        <v>165454</v>
      </c>
      <c r="P157" s="8">
        <v>142436</v>
      </c>
      <c r="Q157" s="8">
        <v>114018</v>
      </c>
      <c r="R157" s="8">
        <v>81059</v>
      </c>
      <c r="S157" s="8">
        <v>53461</v>
      </c>
      <c r="T157" s="8">
        <v>44474</v>
      </c>
      <c r="U157" s="7">
        <f t="shared" si="8"/>
        <v>20.160544817893548</v>
      </c>
      <c r="V157" s="7">
        <f t="shared" si="9"/>
        <v>71.732317808626192</v>
      </c>
      <c r="W157" s="7">
        <f t="shared" si="10"/>
        <v>8.1071373734802563</v>
      </c>
      <c r="X157" s="7">
        <f>SUM(I157:L157)/D157*100</f>
        <v>29.835673234271965</v>
      </c>
      <c r="Y157" s="7">
        <f t="shared" si="11"/>
        <v>39.407178040431958</v>
      </c>
    </row>
    <row r="158" spans="1:25" x14ac:dyDescent="0.25">
      <c r="A158" s="57">
        <v>3172</v>
      </c>
      <c r="B158" t="s">
        <v>57</v>
      </c>
      <c r="C158" t="s">
        <v>235</v>
      </c>
      <c r="D158" s="8">
        <v>3083988</v>
      </c>
      <c r="E158" s="8">
        <v>211805</v>
      </c>
      <c r="F158" s="8">
        <v>225833</v>
      </c>
      <c r="G158" s="8">
        <v>229255</v>
      </c>
      <c r="H158" s="8">
        <v>233590</v>
      </c>
      <c r="I158" s="8">
        <v>234188</v>
      </c>
      <c r="J158" s="8">
        <v>231546</v>
      </c>
      <c r="K158" s="8">
        <v>230553</v>
      </c>
      <c r="L158" s="8">
        <v>237333</v>
      </c>
      <c r="M158" s="8">
        <v>236494</v>
      </c>
      <c r="N158" s="8">
        <v>233512</v>
      </c>
      <c r="O158" s="8">
        <v>215623</v>
      </c>
      <c r="P158" s="8">
        <v>184025</v>
      </c>
      <c r="Q158" s="8">
        <v>148010</v>
      </c>
      <c r="R158" s="8">
        <v>107257</v>
      </c>
      <c r="S158" s="8">
        <v>71884</v>
      </c>
      <c r="T158" s="8">
        <v>53080</v>
      </c>
      <c r="U158" s="7">
        <f t="shared" si="8"/>
        <v>21.624370782246881</v>
      </c>
      <c r="V158" s="7">
        <f t="shared" si="9"/>
        <v>70.845736105328555</v>
      </c>
      <c r="W158" s="7">
        <f t="shared" si="10"/>
        <v>7.5298931124245616</v>
      </c>
      <c r="X158" s="7">
        <f>SUM(I158:L158)/D158*100</f>
        <v>30.273139843605097</v>
      </c>
      <c r="Y158" s="7">
        <f t="shared" si="11"/>
        <v>41.151755204190266</v>
      </c>
    </row>
    <row r="159" spans="1:25" x14ac:dyDescent="0.25">
      <c r="A159" s="57">
        <v>3173</v>
      </c>
      <c r="B159" t="s">
        <v>57</v>
      </c>
      <c r="C159" t="s">
        <v>236</v>
      </c>
      <c r="D159" s="8">
        <v>1032236</v>
      </c>
      <c r="E159" s="8">
        <v>60323</v>
      </c>
      <c r="F159" s="8">
        <v>66306</v>
      </c>
      <c r="G159" s="8">
        <v>70192</v>
      </c>
      <c r="H159" s="8">
        <v>73652</v>
      </c>
      <c r="I159" s="8">
        <v>78646</v>
      </c>
      <c r="J159" s="8">
        <v>78118</v>
      </c>
      <c r="K159" s="8">
        <v>75883</v>
      </c>
      <c r="L159" s="8">
        <v>79014</v>
      </c>
      <c r="M159" s="8">
        <v>77924</v>
      </c>
      <c r="N159" s="8">
        <v>76752</v>
      </c>
      <c r="O159" s="8">
        <v>74228</v>
      </c>
      <c r="P159" s="8">
        <v>67848</v>
      </c>
      <c r="Q159" s="8">
        <v>57254</v>
      </c>
      <c r="R159" s="8">
        <v>42037</v>
      </c>
      <c r="S159" s="8">
        <v>29039</v>
      </c>
      <c r="T159" s="8">
        <v>25020</v>
      </c>
      <c r="U159" s="7">
        <f t="shared" si="8"/>
        <v>19.067441941571499</v>
      </c>
      <c r="V159" s="7">
        <f t="shared" si="9"/>
        <v>71.623059067887567</v>
      </c>
      <c r="W159" s="7">
        <f t="shared" si="10"/>
        <v>9.3094989905409218</v>
      </c>
      <c r="X159" s="7">
        <f>SUM(I159:L159)/D159*100</f>
        <v>30.192804746201453</v>
      </c>
      <c r="Y159" s="7">
        <f t="shared" si="11"/>
        <v>39.619839338634613</v>
      </c>
    </row>
    <row r="160" spans="1:25" x14ac:dyDescent="0.25">
      <c r="A160" s="57">
        <v>3174</v>
      </c>
      <c r="B160" t="s">
        <v>57</v>
      </c>
      <c r="C160" t="s">
        <v>237</v>
      </c>
      <c r="D160" s="8">
        <v>2494110</v>
      </c>
      <c r="E160" s="8">
        <v>172409</v>
      </c>
      <c r="F160" s="8">
        <v>176594</v>
      </c>
      <c r="G160" s="8">
        <v>183273</v>
      </c>
      <c r="H160" s="8">
        <v>186675</v>
      </c>
      <c r="I160" s="8">
        <v>186057</v>
      </c>
      <c r="J160" s="8">
        <v>184819</v>
      </c>
      <c r="K160" s="8">
        <v>187264</v>
      </c>
      <c r="L160" s="8">
        <v>200281</v>
      </c>
      <c r="M160" s="8">
        <v>201121</v>
      </c>
      <c r="N160" s="8">
        <v>193978</v>
      </c>
      <c r="O160" s="8">
        <v>171968</v>
      </c>
      <c r="P160" s="8">
        <v>144382</v>
      </c>
      <c r="Q160" s="8">
        <v>116258</v>
      </c>
      <c r="R160" s="8">
        <v>84892</v>
      </c>
      <c r="S160" s="8">
        <v>57179</v>
      </c>
      <c r="T160" s="8">
        <v>46960</v>
      </c>
      <c r="U160" s="7">
        <f t="shared" si="8"/>
        <v>21.341320150274047</v>
      </c>
      <c r="V160" s="7">
        <f t="shared" si="9"/>
        <v>71.079583498722982</v>
      </c>
      <c r="W160" s="7">
        <f t="shared" si="10"/>
        <v>7.5790963510029634</v>
      </c>
      <c r="X160" s="7">
        <f>SUM(I160:L160)/D160*100</f>
        <v>30.408482384497876</v>
      </c>
      <c r="Y160" s="7">
        <f t="shared" si="11"/>
        <v>40.687374739325236</v>
      </c>
    </row>
    <row r="161" spans="1:25" x14ac:dyDescent="0.25">
      <c r="A161" s="57">
        <v>3175</v>
      </c>
      <c r="B161" t="s">
        <v>57</v>
      </c>
      <c r="C161" t="s">
        <v>238</v>
      </c>
      <c r="D161" s="8">
        <v>1822156</v>
      </c>
      <c r="E161" s="8">
        <v>130169</v>
      </c>
      <c r="F161" s="8">
        <v>137016</v>
      </c>
      <c r="G161" s="8">
        <v>138696</v>
      </c>
      <c r="H161" s="8">
        <v>137657</v>
      </c>
      <c r="I161" s="8">
        <v>134718</v>
      </c>
      <c r="J161" s="8">
        <v>134697</v>
      </c>
      <c r="K161" s="8">
        <v>137675</v>
      </c>
      <c r="L161" s="8">
        <v>146001</v>
      </c>
      <c r="M161" s="8">
        <v>145420</v>
      </c>
      <c r="N161" s="8">
        <v>141111</v>
      </c>
      <c r="O161" s="8">
        <v>123656</v>
      </c>
      <c r="P161" s="8">
        <v>101665</v>
      </c>
      <c r="Q161" s="8">
        <v>80691</v>
      </c>
      <c r="R161" s="8">
        <v>60170</v>
      </c>
      <c r="S161" s="8">
        <v>40801</v>
      </c>
      <c r="T161" s="8">
        <v>32013</v>
      </c>
      <c r="U161" s="7">
        <f t="shared" si="8"/>
        <v>22.274766814696438</v>
      </c>
      <c r="V161" s="7">
        <f t="shared" si="9"/>
        <v>70.427065520185977</v>
      </c>
      <c r="W161" s="7">
        <f t="shared" si="10"/>
        <v>7.2981676651175862</v>
      </c>
      <c r="X161" s="7">
        <f>SUM(I161:L161)/D161*100</f>
        <v>30.353657974399557</v>
      </c>
      <c r="Y161" s="7">
        <f t="shared" si="11"/>
        <v>41.990865672711806</v>
      </c>
    </row>
    <row r="162" spans="1:25" x14ac:dyDescent="0.25">
      <c r="A162" s="57">
        <v>3201</v>
      </c>
      <c r="B162" t="s">
        <v>58</v>
      </c>
      <c r="C162" t="s">
        <v>239</v>
      </c>
      <c r="D162" s="8">
        <v>5760944</v>
      </c>
      <c r="E162" s="8">
        <v>449696</v>
      </c>
      <c r="F162" s="8">
        <v>449892</v>
      </c>
      <c r="G162" s="8">
        <v>459893</v>
      </c>
      <c r="H162" s="8">
        <v>454799</v>
      </c>
      <c r="I162" s="8">
        <v>453624</v>
      </c>
      <c r="J162" s="8">
        <v>470936</v>
      </c>
      <c r="K162" s="8">
        <v>476486</v>
      </c>
      <c r="L162" s="8">
        <v>488123</v>
      </c>
      <c r="M162" s="8">
        <v>439537</v>
      </c>
      <c r="N162" s="8">
        <v>406609</v>
      </c>
      <c r="O162" s="8">
        <v>357819</v>
      </c>
      <c r="P162" s="8">
        <v>295491</v>
      </c>
      <c r="Q162" s="8">
        <v>224126</v>
      </c>
      <c r="R162" s="8">
        <v>156950</v>
      </c>
      <c r="S162" s="8">
        <v>97517</v>
      </c>
      <c r="T162" s="8">
        <v>79446</v>
      </c>
      <c r="U162" s="7">
        <f t="shared" si="8"/>
        <v>23.598233206224535</v>
      </c>
      <c r="V162" s="7">
        <f t="shared" si="9"/>
        <v>70.605616024040501</v>
      </c>
      <c r="W162" s="7">
        <f t="shared" si="10"/>
        <v>5.7961507697349601</v>
      </c>
      <c r="X162" s="7">
        <f>SUM(I162:L162)/D162*100</f>
        <v>32.792698557736372</v>
      </c>
      <c r="Y162" s="7">
        <f t="shared" si="11"/>
        <v>41.631793094122997</v>
      </c>
    </row>
    <row r="163" spans="1:25" x14ac:dyDescent="0.25">
      <c r="A163" s="57">
        <v>3202</v>
      </c>
      <c r="B163" t="s">
        <v>58</v>
      </c>
      <c r="C163" t="s">
        <v>240</v>
      </c>
      <c r="D163" s="8">
        <v>2875411</v>
      </c>
      <c r="E163" s="8">
        <v>223483</v>
      </c>
      <c r="F163" s="8">
        <v>217958</v>
      </c>
      <c r="G163" s="8">
        <v>219690</v>
      </c>
      <c r="H163" s="8">
        <v>227706</v>
      </c>
      <c r="I163" s="8">
        <v>234412</v>
      </c>
      <c r="J163" s="8">
        <v>235300</v>
      </c>
      <c r="K163" s="8">
        <v>225635</v>
      </c>
      <c r="L163" s="8">
        <v>219905</v>
      </c>
      <c r="M163" s="8">
        <v>200826</v>
      </c>
      <c r="N163" s="8">
        <v>185162</v>
      </c>
      <c r="O163" s="8">
        <v>173058</v>
      </c>
      <c r="P163" s="8">
        <v>153240</v>
      </c>
      <c r="Q163" s="8">
        <v>130497</v>
      </c>
      <c r="R163" s="8">
        <v>98758</v>
      </c>
      <c r="S163" s="8">
        <v>66645</v>
      </c>
      <c r="T163" s="8">
        <v>63136</v>
      </c>
      <c r="U163" s="7">
        <f t="shared" si="8"/>
        <v>22.992573931170188</v>
      </c>
      <c r="V163" s="7">
        <f t="shared" si="9"/>
        <v>69.059379685199787</v>
      </c>
      <c r="W163" s="7">
        <f t="shared" si="10"/>
        <v>7.948046383630027</v>
      </c>
      <c r="X163" s="7">
        <f>SUM(I163:L163)/D163*100</f>
        <v>31.83030182467828</v>
      </c>
      <c r="Y163" s="7">
        <f t="shared" si="11"/>
        <v>44.80292243550393</v>
      </c>
    </row>
    <row r="164" spans="1:25" x14ac:dyDescent="0.25">
      <c r="A164" s="57">
        <v>3203</v>
      </c>
      <c r="B164" t="s">
        <v>58</v>
      </c>
      <c r="C164" t="s">
        <v>241</v>
      </c>
      <c r="D164" s="8">
        <v>2634844</v>
      </c>
      <c r="E164" s="8">
        <v>212745</v>
      </c>
      <c r="F164" s="8">
        <v>212407</v>
      </c>
      <c r="G164" s="8">
        <v>211584</v>
      </c>
      <c r="H164" s="8">
        <v>211942</v>
      </c>
      <c r="I164" s="8">
        <v>210391</v>
      </c>
      <c r="J164" s="8">
        <v>212605</v>
      </c>
      <c r="K164" s="8">
        <v>201308</v>
      </c>
      <c r="L164" s="8">
        <v>198047</v>
      </c>
      <c r="M164" s="8">
        <v>181051</v>
      </c>
      <c r="N164" s="8">
        <v>168124</v>
      </c>
      <c r="O164" s="8">
        <v>162432</v>
      </c>
      <c r="P164" s="8">
        <v>137181</v>
      </c>
      <c r="Q164" s="8">
        <v>115570</v>
      </c>
      <c r="R164" s="8">
        <v>87625</v>
      </c>
      <c r="S164" s="8">
        <v>58677</v>
      </c>
      <c r="T164" s="8">
        <v>53155</v>
      </c>
      <c r="U164" s="7">
        <f t="shared" si="8"/>
        <v>24.165984779364546</v>
      </c>
      <c r="V164" s="7">
        <f t="shared" si="9"/>
        <v>68.26404143850641</v>
      </c>
      <c r="W164" s="7">
        <f t="shared" si="10"/>
        <v>7.5699737821290372</v>
      </c>
      <c r="X164" s="7">
        <f>SUM(I164:L164)/D164*100</f>
        <v>31.210614366543144</v>
      </c>
      <c r="Y164" s="7">
        <f t="shared" si="11"/>
        <v>46.49000834514311</v>
      </c>
    </row>
    <row r="165" spans="1:25" x14ac:dyDescent="0.25">
      <c r="A165" s="57">
        <v>3204</v>
      </c>
      <c r="B165" t="s">
        <v>58</v>
      </c>
      <c r="C165" t="s">
        <v>242</v>
      </c>
      <c r="D165" s="8">
        <v>3812412</v>
      </c>
      <c r="E165" s="8">
        <v>289476</v>
      </c>
      <c r="F165" s="8">
        <v>306848</v>
      </c>
      <c r="G165" s="8">
        <v>302922</v>
      </c>
      <c r="H165" s="8">
        <v>329253</v>
      </c>
      <c r="I165" s="8">
        <v>319951</v>
      </c>
      <c r="J165" s="8">
        <v>300302</v>
      </c>
      <c r="K165" s="8">
        <v>292977</v>
      </c>
      <c r="L165" s="8">
        <v>275503</v>
      </c>
      <c r="M165" s="8">
        <v>274361</v>
      </c>
      <c r="N165" s="8">
        <v>270906</v>
      </c>
      <c r="O165" s="8">
        <v>240345</v>
      </c>
      <c r="P165" s="8">
        <v>196231</v>
      </c>
      <c r="Q165" s="8">
        <v>157292</v>
      </c>
      <c r="R165" s="8">
        <v>113402</v>
      </c>
      <c r="S165" s="8">
        <v>78071</v>
      </c>
      <c r="T165" s="8">
        <v>64572</v>
      </c>
      <c r="U165" s="7">
        <f t="shared" si="8"/>
        <v>23.587324769725832</v>
      </c>
      <c r="V165" s="7">
        <f t="shared" si="9"/>
        <v>69.696585783488246</v>
      </c>
      <c r="W165" s="7">
        <f t="shared" si="10"/>
        <v>6.7160894467859196</v>
      </c>
      <c r="X165" s="7">
        <f>SUM(I165:L165)/D165*100</f>
        <v>31.180601676838705</v>
      </c>
      <c r="Y165" s="7">
        <f t="shared" si="11"/>
        <v>43.479051198646957</v>
      </c>
    </row>
    <row r="166" spans="1:25" x14ac:dyDescent="0.25">
      <c r="A166" s="57">
        <v>3205</v>
      </c>
      <c r="B166" t="s">
        <v>58</v>
      </c>
      <c r="C166" t="s">
        <v>243</v>
      </c>
      <c r="D166" s="8">
        <v>2779698</v>
      </c>
      <c r="E166" s="8">
        <v>246014</v>
      </c>
      <c r="F166" s="8">
        <v>238951</v>
      </c>
      <c r="G166" s="8">
        <v>224154</v>
      </c>
      <c r="H166" s="8">
        <v>233175</v>
      </c>
      <c r="I166" s="8">
        <v>243798</v>
      </c>
      <c r="J166" s="8">
        <v>246365</v>
      </c>
      <c r="K166" s="8">
        <v>220264</v>
      </c>
      <c r="L166" s="8">
        <v>202970</v>
      </c>
      <c r="M166" s="8">
        <v>182598</v>
      </c>
      <c r="N166" s="8">
        <v>164719</v>
      </c>
      <c r="O166" s="8">
        <v>151899</v>
      </c>
      <c r="P166" s="8">
        <v>131418</v>
      </c>
      <c r="Q166" s="8">
        <v>109418</v>
      </c>
      <c r="R166" s="8">
        <v>80810</v>
      </c>
      <c r="S166" s="8">
        <v>54178</v>
      </c>
      <c r="T166" s="8">
        <v>48967</v>
      </c>
      <c r="U166" s="7">
        <f t="shared" si="8"/>
        <v>25.510648998560274</v>
      </c>
      <c r="V166" s="7">
        <f t="shared" si="9"/>
        <v>67.871545757848523</v>
      </c>
      <c r="W166" s="7">
        <f t="shared" si="10"/>
        <v>6.61780524359121</v>
      </c>
      <c r="X166" s="7">
        <f>SUM(I166:L166)/D166*100</f>
        <v>32.859576831727765</v>
      </c>
      <c r="Y166" s="7">
        <f t="shared" si="11"/>
        <v>47.337148260596706</v>
      </c>
    </row>
    <row r="167" spans="1:25" x14ac:dyDescent="0.25">
      <c r="A167" s="57">
        <v>3206</v>
      </c>
      <c r="B167" t="s">
        <v>58</v>
      </c>
      <c r="C167" t="s">
        <v>244</v>
      </c>
      <c r="D167" s="8">
        <v>1946197</v>
      </c>
      <c r="E167" s="8">
        <v>149221</v>
      </c>
      <c r="F167" s="8">
        <v>145540</v>
      </c>
      <c r="G167" s="8">
        <v>137318</v>
      </c>
      <c r="H167" s="8">
        <v>149186</v>
      </c>
      <c r="I167" s="8">
        <v>156565</v>
      </c>
      <c r="J167" s="8">
        <v>153314</v>
      </c>
      <c r="K167" s="8">
        <v>142185</v>
      </c>
      <c r="L167" s="8">
        <v>133090</v>
      </c>
      <c r="M167" s="8">
        <v>128759</v>
      </c>
      <c r="N167" s="8">
        <v>120868</v>
      </c>
      <c r="O167" s="8">
        <v>122517</v>
      </c>
      <c r="P167" s="8">
        <v>115180</v>
      </c>
      <c r="Q167" s="8">
        <v>103682</v>
      </c>
      <c r="R167" s="8">
        <v>77301</v>
      </c>
      <c r="S167" s="8">
        <v>53556</v>
      </c>
      <c r="T167" s="8">
        <v>57915</v>
      </c>
      <c r="U167" s="7">
        <f t="shared" si="8"/>
        <v>22.201195459657988</v>
      </c>
      <c r="V167" s="7">
        <f t="shared" si="9"/>
        <v>68.099272581347108</v>
      </c>
      <c r="W167" s="7">
        <f t="shared" si="10"/>
        <v>9.6995319589949016</v>
      </c>
      <c r="X167" s="7">
        <f>SUM(I167:L167)/D167*100</f>
        <v>30.066534888297536</v>
      </c>
      <c r="Y167" s="7">
        <f t="shared" si="11"/>
        <v>46.844446657702967</v>
      </c>
    </row>
    <row r="168" spans="1:25" x14ac:dyDescent="0.25">
      <c r="A168" s="57">
        <v>3207</v>
      </c>
      <c r="B168" t="s">
        <v>58</v>
      </c>
      <c r="C168" t="s">
        <v>245</v>
      </c>
      <c r="D168" s="8">
        <v>1273158</v>
      </c>
      <c r="E168" s="8">
        <v>94192</v>
      </c>
      <c r="F168" s="8">
        <v>84204</v>
      </c>
      <c r="G168" s="8">
        <v>83297</v>
      </c>
      <c r="H168" s="8">
        <v>93410</v>
      </c>
      <c r="I168" s="8">
        <v>98650</v>
      </c>
      <c r="J168" s="8">
        <v>97676</v>
      </c>
      <c r="K168" s="8">
        <v>90428</v>
      </c>
      <c r="L168" s="8">
        <v>83382</v>
      </c>
      <c r="M168" s="8">
        <v>81580</v>
      </c>
      <c r="N168" s="8">
        <v>79861</v>
      </c>
      <c r="O168" s="8">
        <v>78361</v>
      </c>
      <c r="P168" s="8">
        <v>77387</v>
      </c>
      <c r="Q168" s="8">
        <v>73141</v>
      </c>
      <c r="R168" s="8">
        <v>62341</v>
      </c>
      <c r="S168" s="8">
        <v>47473</v>
      </c>
      <c r="T168" s="8">
        <v>47775</v>
      </c>
      <c r="U168" s="7">
        <f t="shared" si="8"/>
        <v>20.554636580848566</v>
      </c>
      <c r="V168" s="7">
        <f t="shared" si="9"/>
        <v>67.06755956448454</v>
      </c>
      <c r="W168" s="7">
        <f t="shared" si="10"/>
        <v>12.377803854666899</v>
      </c>
      <c r="X168" s="7">
        <f>SUM(I168:L168)/D168*100</f>
        <v>29.072275397083473</v>
      </c>
      <c r="Y168" s="7">
        <f t="shared" si="11"/>
        <v>49.103382692568943</v>
      </c>
    </row>
    <row r="169" spans="1:25" x14ac:dyDescent="0.25">
      <c r="A169" s="57">
        <v>3208</v>
      </c>
      <c r="B169" t="s">
        <v>58</v>
      </c>
      <c r="C169" t="s">
        <v>246</v>
      </c>
      <c r="D169" s="8">
        <v>1236761</v>
      </c>
      <c r="E169" s="8">
        <v>93347</v>
      </c>
      <c r="F169" s="8">
        <v>97509</v>
      </c>
      <c r="G169" s="8">
        <v>86977</v>
      </c>
      <c r="H169" s="8">
        <v>95184</v>
      </c>
      <c r="I169" s="8">
        <v>95654</v>
      </c>
      <c r="J169" s="8">
        <v>92315</v>
      </c>
      <c r="K169" s="8">
        <v>87976</v>
      </c>
      <c r="L169" s="8">
        <v>87346</v>
      </c>
      <c r="M169" s="8">
        <v>89042</v>
      </c>
      <c r="N169" s="8">
        <v>85025</v>
      </c>
      <c r="O169" s="8">
        <v>77143</v>
      </c>
      <c r="P169" s="8">
        <v>70429</v>
      </c>
      <c r="Q169" s="8">
        <v>60819</v>
      </c>
      <c r="R169" s="8">
        <v>47623</v>
      </c>
      <c r="S169" s="8">
        <v>34812</v>
      </c>
      <c r="T169" s="8">
        <v>35560</v>
      </c>
      <c r="U169" s="7">
        <f t="shared" si="8"/>
        <v>22.464566719034639</v>
      </c>
      <c r="V169" s="7">
        <f t="shared" si="9"/>
        <v>67.994786381523994</v>
      </c>
      <c r="W169" s="7">
        <f t="shared" si="10"/>
        <v>9.5406468994413629</v>
      </c>
      <c r="X169" s="7">
        <f>SUM(I169:L169)/D169*100</f>
        <v>29.374390039789418</v>
      </c>
      <c r="Y169" s="7">
        <f t="shared" si="11"/>
        <v>47.070099520413642</v>
      </c>
    </row>
    <row r="170" spans="1:25" x14ac:dyDescent="0.25">
      <c r="A170" s="57">
        <v>3209</v>
      </c>
      <c r="B170" t="s">
        <v>58</v>
      </c>
      <c r="C170" t="s">
        <v>247</v>
      </c>
      <c r="D170" s="8">
        <v>2438657</v>
      </c>
      <c r="E170" s="8">
        <v>197856</v>
      </c>
      <c r="F170" s="8">
        <v>202099</v>
      </c>
      <c r="G170" s="8">
        <v>175427</v>
      </c>
      <c r="H170" s="8">
        <v>173069</v>
      </c>
      <c r="I170" s="8">
        <v>177411</v>
      </c>
      <c r="J170" s="8">
        <v>197578</v>
      </c>
      <c r="K170" s="8">
        <v>197491</v>
      </c>
      <c r="L170" s="8">
        <v>200101</v>
      </c>
      <c r="M170" s="8">
        <v>192375</v>
      </c>
      <c r="N170" s="8">
        <v>179536</v>
      </c>
      <c r="O170" s="8">
        <v>153209</v>
      </c>
      <c r="P170" s="8">
        <v>126471</v>
      </c>
      <c r="Q170" s="8">
        <v>98557</v>
      </c>
      <c r="R170" s="8">
        <v>74221</v>
      </c>
      <c r="S170" s="8">
        <v>51025</v>
      </c>
      <c r="T170" s="8">
        <v>42231</v>
      </c>
      <c r="U170" s="7">
        <f t="shared" si="8"/>
        <v>23.59421599675559</v>
      </c>
      <c r="V170" s="7">
        <f t="shared" si="9"/>
        <v>69.538192537941995</v>
      </c>
      <c r="W170" s="7">
        <f t="shared" si="10"/>
        <v>6.8675914653024179</v>
      </c>
      <c r="X170" s="7">
        <f>SUM(I170:L170)/D170*100</f>
        <v>31.680593047730781</v>
      </c>
      <c r="Y170" s="7">
        <f t="shared" si="11"/>
        <v>43.805866028854851</v>
      </c>
    </row>
    <row r="171" spans="1:25" x14ac:dyDescent="0.25">
      <c r="A171" s="57">
        <v>3210</v>
      </c>
      <c r="B171" t="s">
        <v>58</v>
      </c>
      <c r="C171" t="s">
        <v>248</v>
      </c>
      <c r="D171" s="8">
        <v>1374601</v>
      </c>
      <c r="E171" s="8">
        <v>103608</v>
      </c>
      <c r="F171" s="8">
        <v>96200</v>
      </c>
      <c r="G171" s="8">
        <v>94749</v>
      </c>
      <c r="H171" s="8">
        <v>99889</v>
      </c>
      <c r="I171" s="8">
        <v>104922</v>
      </c>
      <c r="J171" s="8">
        <v>104236</v>
      </c>
      <c r="K171" s="8">
        <v>100892</v>
      </c>
      <c r="L171" s="8">
        <v>98105</v>
      </c>
      <c r="M171" s="8">
        <v>102026</v>
      </c>
      <c r="N171" s="8">
        <v>99861</v>
      </c>
      <c r="O171" s="8">
        <v>91999</v>
      </c>
      <c r="P171" s="8">
        <v>78845</v>
      </c>
      <c r="Q171" s="8">
        <v>67407</v>
      </c>
      <c r="R171" s="8">
        <v>54207</v>
      </c>
      <c r="S171" s="8">
        <v>39387</v>
      </c>
      <c r="T171" s="8">
        <v>38268</v>
      </c>
      <c r="U171" s="7">
        <f t="shared" si="8"/>
        <v>21.428545447006076</v>
      </c>
      <c r="V171" s="7">
        <f t="shared" si="9"/>
        <v>68.978707275784018</v>
      </c>
      <c r="W171" s="7">
        <f t="shared" si="10"/>
        <v>9.5927472772098952</v>
      </c>
      <c r="X171" s="7">
        <f>SUM(I171:L171)/D171*100</f>
        <v>29.692616257372141</v>
      </c>
      <c r="Y171" s="7">
        <f t="shared" si="11"/>
        <v>44.972273255556424</v>
      </c>
    </row>
    <row r="172" spans="1:25" x14ac:dyDescent="0.25">
      <c r="A172" s="57">
        <v>3211</v>
      </c>
      <c r="B172" t="s">
        <v>58</v>
      </c>
      <c r="C172" t="s">
        <v>249</v>
      </c>
      <c r="D172" s="8">
        <v>1203722</v>
      </c>
      <c r="E172" s="8">
        <v>86339</v>
      </c>
      <c r="F172" s="8">
        <v>84561</v>
      </c>
      <c r="G172" s="8">
        <v>83555</v>
      </c>
      <c r="H172" s="8">
        <v>90402</v>
      </c>
      <c r="I172" s="8">
        <v>97927</v>
      </c>
      <c r="J172" s="8">
        <v>94129</v>
      </c>
      <c r="K172" s="8">
        <v>90615</v>
      </c>
      <c r="L172" s="8">
        <v>82340</v>
      </c>
      <c r="M172" s="8">
        <v>79954</v>
      </c>
      <c r="N172" s="8">
        <v>76759</v>
      </c>
      <c r="O172" s="8">
        <v>71778</v>
      </c>
      <c r="P172" s="8">
        <v>70669</v>
      </c>
      <c r="Q172" s="8">
        <v>64676</v>
      </c>
      <c r="R172" s="8">
        <v>50910</v>
      </c>
      <c r="S172" s="8">
        <v>39601</v>
      </c>
      <c r="T172" s="8">
        <v>39507</v>
      </c>
      <c r="U172" s="7">
        <f t="shared" si="8"/>
        <v>21.139017148477805</v>
      </c>
      <c r="V172" s="7">
        <f t="shared" si="9"/>
        <v>68.059651647141123</v>
      </c>
      <c r="W172" s="7">
        <f t="shared" si="10"/>
        <v>10.801331204381077</v>
      </c>
      <c r="X172" s="7">
        <f>SUM(I172:L172)/D172*100</f>
        <v>30.323529851577025</v>
      </c>
      <c r="Y172" s="7">
        <f t="shared" si="11"/>
        <v>46.929932169584582</v>
      </c>
    </row>
    <row r="173" spans="1:25" x14ac:dyDescent="0.25">
      <c r="A173" s="57">
        <v>3212</v>
      </c>
      <c r="B173" t="s">
        <v>58</v>
      </c>
      <c r="C173" t="s">
        <v>250</v>
      </c>
      <c r="D173" s="8">
        <v>1950316</v>
      </c>
      <c r="E173" s="8">
        <v>148550</v>
      </c>
      <c r="F173" s="8">
        <v>135807</v>
      </c>
      <c r="G173" s="8">
        <v>140640</v>
      </c>
      <c r="H173" s="8">
        <v>142417</v>
      </c>
      <c r="I173" s="8">
        <v>145153</v>
      </c>
      <c r="J173" s="8">
        <v>155074</v>
      </c>
      <c r="K173" s="8">
        <v>151823</v>
      </c>
      <c r="L173" s="8">
        <v>149964</v>
      </c>
      <c r="M173" s="8">
        <v>151038</v>
      </c>
      <c r="N173" s="8">
        <v>149333</v>
      </c>
      <c r="O173" s="8">
        <v>131188</v>
      </c>
      <c r="P173" s="8">
        <v>109585</v>
      </c>
      <c r="Q173" s="8">
        <v>87021</v>
      </c>
      <c r="R173" s="8">
        <v>68332</v>
      </c>
      <c r="S173" s="8">
        <v>46029</v>
      </c>
      <c r="T173" s="8">
        <v>38362</v>
      </c>
      <c r="U173" s="7">
        <f t="shared" si="8"/>
        <v>21.791186658982443</v>
      </c>
      <c r="V173" s="7">
        <f t="shared" si="9"/>
        <v>70.378133594761053</v>
      </c>
      <c r="W173" s="7">
        <f t="shared" si="10"/>
        <v>7.8306797462565036</v>
      </c>
      <c r="X173" s="7">
        <f>SUM(I173:L173)/D173*100</f>
        <v>30.867510700830021</v>
      </c>
      <c r="Y173" s="7">
        <f t="shared" si="11"/>
        <v>42.089587904962563</v>
      </c>
    </row>
    <row r="174" spans="1:25" x14ac:dyDescent="0.25">
      <c r="A174" s="57">
        <v>3213</v>
      </c>
      <c r="B174" t="s">
        <v>58</v>
      </c>
      <c r="C174" t="s">
        <v>251</v>
      </c>
      <c r="D174" s="8">
        <v>1687343</v>
      </c>
      <c r="E174" s="8">
        <v>128526</v>
      </c>
      <c r="F174" s="8">
        <v>115218</v>
      </c>
      <c r="G174" s="8">
        <v>114030</v>
      </c>
      <c r="H174" s="8">
        <v>120411</v>
      </c>
      <c r="I174" s="8">
        <v>126428</v>
      </c>
      <c r="J174" s="8">
        <v>130412</v>
      </c>
      <c r="K174" s="8">
        <v>128762</v>
      </c>
      <c r="L174" s="8">
        <v>119175</v>
      </c>
      <c r="M174" s="8">
        <v>123449</v>
      </c>
      <c r="N174" s="8">
        <v>116992</v>
      </c>
      <c r="O174" s="8">
        <v>112639</v>
      </c>
      <c r="P174" s="8">
        <v>101676</v>
      </c>
      <c r="Q174" s="8">
        <v>85526</v>
      </c>
      <c r="R174" s="8">
        <v>66667</v>
      </c>
      <c r="S174" s="8">
        <v>46785</v>
      </c>
      <c r="T174" s="8">
        <v>50647</v>
      </c>
      <c r="U174" s="7">
        <f t="shared" si="8"/>
        <v>21.203394923261008</v>
      </c>
      <c r="V174" s="7">
        <f t="shared" si="9"/>
        <v>69.071315079388128</v>
      </c>
      <c r="W174" s="7">
        <f t="shared" si="10"/>
        <v>9.7252899973508651</v>
      </c>
      <c r="X174" s="7">
        <f>SUM(I174:L174)/D174*100</f>
        <v>29.915494360067868</v>
      </c>
      <c r="Y174" s="7">
        <f t="shared" si="11"/>
        <v>44.777900761066356</v>
      </c>
    </row>
    <row r="175" spans="1:25" x14ac:dyDescent="0.25">
      <c r="A175" s="57">
        <v>3214</v>
      </c>
      <c r="B175" t="s">
        <v>58</v>
      </c>
      <c r="C175" t="s">
        <v>252</v>
      </c>
      <c r="D175" s="8">
        <v>1075243</v>
      </c>
      <c r="E175" s="8">
        <v>91066</v>
      </c>
      <c r="F175" s="8">
        <v>84872</v>
      </c>
      <c r="G175" s="8">
        <v>83826</v>
      </c>
      <c r="H175" s="8">
        <v>84208</v>
      </c>
      <c r="I175" s="8">
        <v>85289</v>
      </c>
      <c r="J175" s="8">
        <v>85772</v>
      </c>
      <c r="K175" s="8">
        <v>85811</v>
      </c>
      <c r="L175" s="8">
        <v>83726</v>
      </c>
      <c r="M175" s="8">
        <v>77150</v>
      </c>
      <c r="N175" s="8">
        <v>72591</v>
      </c>
      <c r="O175" s="8">
        <v>65693</v>
      </c>
      <c r="P175" s="8">
        <v>57197</v>
      </c>
      <c r="Q175" s="8">
        <v>44056</v>
      </c>
      <c r="R175" s="8">
        <v>31660</v>
      </c>
      <c r="S175" s="8">
        <v>21541</v>
      </c>
      <c r="T175" s="8">
        <v>20785</v>
      </c>
      <c r="U175" s="7">
        <f t="shared" si="8"/>
        <v>24.158632048755489</v>
      </c>
      <c r="V175" s="7">
        <f t="shared" si="9"/>
        <v>68.96050474171885</v>
      </c>
      <c r="W175" s="7">
        <f t="shared" si="10"/>
        <v>6.8808632095256606</v>
      </c>
      <c r="X175" s="7">
        <f>SUM(I175:L175)/D175*100</f>
        <v>31.676374549752939</v>
      </c>
      <c r="Y175" s="7">
        <f t="shared" si="11"/>
        <v>45.010539546563486</v>
      </c>
    </row>
    <row r="176" spans="1:25" x14ac:dyDescent="0.25">
      <c r="A176" s="57">
        <v>3215</v>
      </c>
      <c r="B176" t="s">
        <v>58</v>
      </c>
      <c r="C176" t="s">
        <v>253</v>
      </c>
      <c r="D176" s="8">
        <v>2607281</v>
      </c>
      <c r="E176" s="8">
        <v>201007</v>
      </c>
      <c r="F176" s="8">
        <v>193403</v>
      </c>
      <c r="G176" s="8">
        <v>199310</v>
      </c>
      <c r="H176" s="8">
        <v>198267</v>
      </c>
      <c r="I176" s="8">
        <v>193712</v>
      </c>
      <c r="J176" s="8">
        <v>202191</v>
      </c>
      <c r="K176" s="8">
        <v>218201</v>
      </c>
      <c r="L176" s="8">
        <v>214863</v>
      </c>
      <c r="M176" s="8">
        <v>198432</v>
      </c>
      <c r="N176" s="8">
        <v>190096</v>
      </c>
      <c r="O176" s="8">
        <v>168119</v>
      </c>
      <c r="P176" s="8">
        <v>142347</v>
      </c>
      <c r="Q176" s="8">
        <v>108996</v>
      </c>
      <c r="R176" s="8">
        <v>80039</v>
      </c>
      <c r="S176" s="8">
        <v>50868</v>
      </c>
      <c r="T176" s="8">
        <v>47430</v>
      </c>
      <c r="U176" s="7">
        <f t="shared" si="8"/>
        <v>22.771615334135443</v>
      </c>
      <c r="V176" s="7">
        <f t="shared" si="9"/>
        <v>70.388423802420988</v>
      </c>
      <c r="W176" s="7">
        <f t="shared" si="10"/>
        <v>6.8399608634435642</v>
      </c>
      <c r="X176" s="7">
        <f>SUM(I176:L176)/D176*100</f>
        <v>31.794309857663983</v>
      </c>
      <c r="Y176" s="7">
        <f t="shared" si="11"/>
        <v>42.068815577825923</v>
      </c>
    </row>
    <row r="177" spans="1:25" x14ac:dyDescent="0.25">
      <c r="A177" s="57">
        <v>3216</v>
      </c>
      <c r="B177" t="s">
        <v>58</v>
      </c>
      <c r="C177" t="s">
        <v>254</v>
      </c>
      <c r="D177" s="8">
        <v>3331400</v>
      </c>
      <c r="E177" s="8">
        <v>254970</v>
      </c>
      <c r="F177" s="8">
        <v>269855</v>
      </c>
      <c r="G177" s="8">
        <v>258260</v>
      </c>
      <c r="H177" s="8">
        <v>259231</v>
      </c>
      <c r="I177" s="8">
        <v>229752</v>
      </c>
      <c r="J177" s="8">
        <v>235255</v>
      </c>
      <c r="K177" s="8">
        <v>271243</v>
      </c>
      <c r="L177" s="8">
        <v>302498</v>
      </c>
      <c r="M177" s="8">
        <v>292236</v>
      </c>
      <c r="N177" s="8">
        <v>271328</v>
      </c>
      <c r="O177" s="8">
        <v>225263</v>
      </c>
      <c r="P177" s="8">
        <v>175665</v>
      </c>
      <c r="Q177" s="8">
        <v>121804</v>
      </c>
      <c r="R177" s="8">
        <v>78909</v>
      </c>
      <c r="S177" s="8">
        <v>47208</v>
      </c>
      <c r="T177" s="8">
        <v>37923</v>
      </c>
      <c r="U177" s="7">
        <f t="shared" si="8"/>
        <v>23.506183586480159</v>
      </c>
      <c r="V177" s="7">
        <f t="shared" si="9"/>
        <v>71.569760461067418</v>
      </c>
      <c r="W177" s="7">
        <f t="shared" si="10"/>
        <v>4.9240559524524228</v>
      </c>
      <c r="X177" s="7">
        <f>SUM(I177:L177)/D177*100</f>
        <v>31.180524704328512</v>
      </c>
      <c r="Y177" s="7">
        <f t="shared" si="11"/>
        <v>39.723815415587552</v>
      </c>
    </row>
    <row r="178" spans="1:25" x14ac:dyDescent="0.25">
      <c r="A178" s="57">
        <v>3217</v>
      </c>
      <c r="B178" t="s">
        <v>58</v>
      </c>
      <c r="C178" t="s">
        <v>255</v>
      </c>
      <c r="D178" s="8">
        <v>1931072</v>
      </c>
      <c r="E178" s="8">
        <v>154626</v>
      </c>
      <c r="F178" s="8">
        <v>150221</v>
      </c>
      <c r="G178" s="8">
        <v>147796</v>
      </c>
      <c r="H178" s="8">
        <v>152434</v>
      </c>
      <c r="I178" s="8">
        <v>158716</v>
      </c>
      <c r="J178" s="8">
        <v>154770</v>
      </c>
      <c r="K178" s="8">
        <v>152315</v>
      </c>
      <c r="L178" s="8">
        <v>141135</v>
      </c>
      <c r="M178" s="8">
        <v>139137</v>
      </c>
      <c r="N178" s="8">
        <v>132689</v>
      </c>
      <c r="O178" s="8">
        <v>120865</v>
      </c>
      <c r="P178" s="8">
        <v>101229</v>
      </c>
      <c r="Q178" s="8">
        <v>82727</v>
      </c>
      <c r="R178" s="8">
        <v>60528</v>
      </c>
      <c r="S178" s="8">
        <v>41931</v>
      </c>
      <c r="T178" s="8">
        <v>39953</v>
      </c>
      <c r="U178" s="7">
        <f t="shared" si="8"/>
        <v>23.439985665992776</v>
      </c>
      <c r="V178" s="7">
        <f t="shared" si="9"/>
        <v>69.185250472276536</v>
      </c>
      <c r="W178" s="7">
        <f t="shared" si="10"/>
        <v>7.3747638617306865</v>
      </c>
      <c r="X178" s="7">
        <f>SUM(I178:L178)/D178*100</f>
        <v>31.430003645643456</v>
      </c>
      <c r="Y178" s="7">
        <f t="shared" si="11"/>
        <v>44.539478165322748</v>
      </c>
    </row>
    <row r="179" spans="1:25" x14ac:dyDescent="0.25">
      <c r="A179" s="57">
        <v>3218</v>
      </c>
      <c r="B179" t="s">
        <v>58</v>
      </c>
      <c r="C179" t="s">
        <v>256</v>
      </c>
      <c r="D179" s="8">
        <v>438741</v>
      </c>
      <c r="E179" s="8">
        <v>32370</v>
      </c>
      <c r="F179" s="8">
        <v>29669</v>
      </c>
      <c r="G179" s="8">
        <v>27955</v>
      </c>
      <c r="H179" s="8">
        <v>31408</v>
      </c>
      <c r="I179" s="8">
        <v>32193</v>
      </c>
      <c r="J179" s="8">
        <v>32802</v>
      </c>
      <c r="K179" s="8">
        <v>31757</v>
      </c>
      <c r="L179" s="8">
        <v>30137</v>
      </c>
      <c r="M179" s="8">
        <v>27980</v>
      </c>
      <c r="N179" s="8">
        <v>27427</v>
      </c>
      <c r="O179" s="8">
        <v>28260</v>
      </c>
      <c r="P179" s="8">
        <v>27983</v>
      </c>
      <c r="Q179" s="8">
        <v>26120</v>
      </c>
      <c r="R179" s="8">
        <v>21585</v>
      </c>
      <c r="S179" s="8">
        <v>15505</v>
      </c>
      <c r="T179" s="8">
        <v>15590</v>
      </c>
      <c r="U179" s="7">
        <f t="shared" si="8"/>
        <v>20.511873747837562</v>
      </c>
      <c r="V179" s="7">
        <f t="shared" si="9"/>
        <v>67.481042346167783</v>
      </c>
      <c r="W179" s="7">
        <f t="shared" si="10"/>
        <v>12.007083905994653</v>
      </c>
      <c r="X179" s="7">
        <f>SUM(I179:L179)/D179*100</f>
        <v>28.921163055196576</v>
      </c>
      <c r="Y179" s="7">
        <f t="shared" si="11"/>
        <v>48.189767856600021</v>
      </c>
    </row>
    <row r="180" spans="1:25" x14ac:dyDescent="0.25">
      <c r="A180" s="57">
        <v>3271</v>
      </c>
      <c r="B180" t="s">
        <v>58</v>
      </c>
      <c r="C180" t="s">
        <v>257</v>
      </c>
      <c r="D180" s="8">
        <v>1089179</v>
      </c>
      <c r="E180" s="8">
        <v>76435</v>
      </c>
      <c r="F180" s="8">
        <v>82936</v>
      </c>
      <c r="G180" s="8">
        <v>81269</v>
      </c>
      <c r="H180" s="8">
        <v>85268</v>
      </c>
      <c r="I180" s="8">
        <v>85111</v>
      </c>
      <c r="J180" s="8">
        <v>83870</v>
      </c>
      <c r="K180" s="8">
        <v>85476</v>
      </c>
      <c r="L180" s="8">
        <v>84735</v>
      </c>
      <c r="M180" s="8">
        <v>80724</v>
      </c>
      <c r="N180" s="8">
        <v>77844</v>
      </c>
      <c r="O180" s="8">
        <v>70755</v>
      </c>
      <c r="P180" s="8">
        <v>61570</v>
      </c>
      <c r="Q180" s="8">
        <v>49283</v>
      </c>
      <c r="R180" s="8">
        <v>36874</v>
      </c>
      <c r="S180" s="8">
        <v>25709</v>
      </c>
      <c r="T180" s="8">
        <v>21320</v>
      </c>
      <c r="U180" s="7">
        <f t="shared" si="8"/>
        <v>22.093705442356125</v>
      </c>
      <c r="V180" s="7">
        <f t="shared" si="9"/>
        <v>70.202969392542457</v>
      </c>
      <c r="W180" s="7">
        <f t="shared" si="10"/>
        <v>7.7033251651014201</v>
      </c>
      <c r="X180" s="7">
        <f>SUM(I180:L180)/D180*100</f>
        <v>31.141988598751901</v>
      </c>
      <c r="Y180" s="7">
        <f t="shared" si="11"/>
        <v>42.444117200864198</v>
      </c>
    </row>
    <row r="181" spans="1:25" x14ac:dyDescent="0.25">
      <c r="A181" s="57">
        <v>3272</v>
      </c>
      <c r="B181" t="s">
        <v>58</v>
      </c>
      <c r="C181" t="s">
        <v>258</v>
      </c>
      <c r="D181" s="8">
        <v>375584</v>
      </c>
      <c r="E181" s="8">
        <v>29556</v>
      </c>
      <c r="F181" s="8">
        <v>30906</v>
      </c>
      <c r="G181" s="8">
        <v>28120</v>
      </c>
      <c r="H181" s="8">
        <v>29088</v>
      </c>
      <c r="I181" s="8">
        <v>29914</v>
      </c>
      <c r="J181" s="8">
        <v>29841</v>
      </c>
      <c r="K181" s="8">
        <v>29485</v>
      </c>
      <c r="L181" s="8">
        <v>28269</v>
      </c>
      <c r="M181" s="8">
        <v>27130</v>
      </c>
      <c r="N181" s="8">
        <v>25229</v>
      </c>
      <c r="O181" s="8">
        <v>21885</v>
      </c>
      <c r="P181" s="8">
        <v>19850</v>
      </c>
      <c r="Q181" s="8">
        <v>16836</v>
      </c>
      <c r="R181" s="8">
        <v>12508</v>
      </c>
      <c r="S181" s="8">
        <v>9037</v>
      </c>
      <c r="T181" s="8">
        <v>7930</v>
      </c>
      <c r="U181" s="7">
        <f t="shared" si="8"/>
        <v>23.585136747039279</v>
      </c>
      <c r="V181" s="7">
        <f t="shared" si="9"/>
        <v>68.56708485984494</v>
      </c>
      <c r="W181" s="7">
        <f t="shared" si="10"/>
        <v>7.8477783931157878</v>
      </c>
      <c r="X181" s="7">
        <f>SUM(I181:L181)/D181*100</f>
        <v>31.287009031268635</v>
      </c>
      <c r="Y181" s="7">
        <f t="shared" si="11"/>
        <v>45.842571846835476</v>
      </c>
    </row>
    <row r="182" spans="1:25" x14ac:dyDescent="0.25">
      <c r="A182" s="57">
        <v>3273</v>
      </c>
      <c r="B182" t="s">
        <v>58</v>
      </c>
      <c r="C182" t="s">
        <v>259</v>
      </c>
      <c r="D182" s="8">
        <v>2569102</v>
      </c>
      <c r="E182" s="8">
        <v>176881</v>
      </c>
      <c r="F182" s="8">
        <v>180638</v>
      </c>
      <c r="G182" s="8">
        <v>174738</v>
      </c>
      <c r="H182" s="8">
        <v>191914</v>
      </c>
      <c r="I182" s="8">
        <v>209360</v>
      </c>
      <c r="J182" s="8">
        <v>208531</v>
      </c>
      <c r="K182" s="8">
        <v>198630</v>
      </c>
      <c r="L182" s="8">
        <v>187617</v>
      </c>
      <c r="M182" s="8">
        <v>186634</v>
      </c>
      <c r="N182" s="8">
        <v>187927</v>
      </c>
      <c r="O182" s="8">
        <v>168923</v>
      </c>
      <c r="P182" s="8">
        <v>149090</v>
      </c>
      <c r="Q182" s="8">
        <v>124254</v>
      </c>
      <c r="R182" s="8">
        <v>93992</v>
      </c>
      <c r="S182" s="8">
        <v>68703</v>
      </c>
      <c r="T182" s="8">
        <v>61270</v>
      </c>
      <c r="U182" s="7">
        <f t="shared" si="8"/>
        <v>20.717628182921501</v>
      </c>
      <c r="V182" s="7">
        <f t="shared" si="9"/>
        <v>70.564734292371426</v>
      </c>
      <c r="W182" s="7">
        <f t="shared" si="10"/>
        <v>8.7176375247070759</v>
      </c>
      <c r="X182" s="7">
        <f>SUM(I182:L182)/D182*100</f>
        <v>31.300353197342883</v>
      </c>
      <c r="Y182" s="7">
        <f t="shared" si="11"/>
        <v>41.713847579541948</v>
      </c>
    </row>
    <row r="183" spans="1:25" x14ac:dyDescent="0.25">
      <c r="A183" s="57">
        <v>3274</v>
      </c>
      <c r="B183" t="s">
        <v>58</v>
      </c>
      <c r="C183" t="s">
        <v>260</v>
      </c>
      <c r="D183" s="8">
        <v>350130</v>
      </c>
      <c r="E183" s="8">
        <v>25861</v>
      </c>
      <c r="F183" s="8">
        <v>27924</v>
      </c>
      <c r="G183" s="8">
        <v>24744</v>
      </c>
      <c r="H183" s="8">
        <v>26780</v>
      </c>
      <c r="I183" s="8">
        <v>27873</v>
      </c>
      <c r="J183" s="8">
        <v>28413</v>
      </c>
      <c r="K183" s="8">
        <v>27054</v>
      </c>
      <c r="L183" s="8">
        <v>25904</v>
      </c>
      <c r="M183" s="8">
        <v>25102</v>
      </c>
      <c r="N183" s="8">
        <v>24820</v>
      </c>
      <c r="O183" s="8">
        <v>21842</v>
      </c>
      <c r="P183" s="8">
        <v>19200</v>
      </c>
      <c r="Q183" s="8">
        <v>15804</v>
      </c>
      <c r="R183" s="8">
        <v>12311</v>
      </c>
      <c r="S183" s="8">
        <v>9052</v>
      </c>
      <c r="T183" s="8">
        <v>7446</v>
      </c>
      <c r="U183" s="7">
        <f t="shared" si="8"/>
        <v>22.428526547282438</v>
      </c>
      <c r="V183" s="7">
        <f t="shared" si="9"/>
        <v>69.343386742067239</v>
      </c>
      <c r="W183" s="7">
        <f t="shared" si="10"/>
        <v>8.2280867106503308</v>
      </c>
      <c r="X183" s="7">
        <f>SUM(I183:L183)/D183*100</f>
        <v>31.200982492217179</v>
      </c>
      <c r="Y183" s="7">
        <f t="shared" si="11"/>
        <v>44.209858644436387</v>
      </c>
    </row>
    <row r="184" spans="1:25" x14ac:dyDescent="0.25">
      <c r="A184" s="57">
        <v>3275</v>
      </c>
      <c r="B184" t="s">
        <v>58</v>
      </c>
      <c r="C184" t="s">
        <v>261</v>
      </c>
      <c r="D184" s="8">
        <v>2652952</v>
      </c>
      <c r="E184" s="8">
        <v>193065</v>
      </c>
      <c r="F184" s="8">
        <v>196385</v>
      </c>
      <c r="G184" s="8">
        <v>187808</v>
      </c>
      <c r="H184" s="8">
        <v>201125</v>
      </c>
      <c r="I184" s="8">
        <v>193288</v>
      </c>
      <c r="J184" s="8">
        <v>194070</v>
      </c>
      <c r="K184" s="8">
        <v>211887</v>
      </c>
      <c r="L184" s="8">
        <v>223834</v>
      </c>
      <c r="M184" s="8">
        <v>210671</v>
      </c>
      <c r="N184" s="8">
        <v>198102</v>
      </c>
      <c r="O184" s="8">
        <v>173102</v>
      </c>
      <c r="P184" s="8">
        <v>151534</v>
      </c>
      <c r="Q184" s="8">
        <v>126990</v>
      </c>
      <c r="R184" s="8">
        <v>93321</v>
      </c>
      <c r="S184" s="8">
        <v>58816</v>
      </c>
      <c r="T184" s="8">
        <v>38954</v>
      </c>
      <c r="U184" s="7">
        <f t="shared" si="8"/>
        <v>21.759081958512631</v>
      </c>
      <c r="V184" s="7">
        <f t="shared" si="9"/>
        <v>71.037960732044908</v>
      </c>
      <c r="W184" s="7">
        <f t="shared" si="10"/>
        <v>7.2029573094424624</v>
      </c>
      <c r="X184" s="7">
        <f>SUM(I184:L184)/D184*100</f>
        <v>31.025024199457814</v>
      </c>
      <c r="Y184" s="7">
        <f t="shared" si="11"/>
        <v>40.769806691382747</v>
      </c>
    </row>
    <row r="185" spans="1:25" x14ac:dyDescent="0.25">
      <c r="A185" s="57">
        <v>3276</v>
      </c>
      <c r="B185" t="s">
        <v>58</v>
      </c>
      <c r="C185" t="s">
        <v>262</v>
      </c>
      <c r="D185" s="8">
        <v>2173248</v>
      </c>
      <c r="E185" s="8">
        <v>161672</v>
      </c>
      <c r="F185" s="8">
        <v>167979</v>
      </c>
      <c r="G185" s="8">
        <v>161153</v>
      </c>
      <c r="H185" s="8">
        <v>171260</v>
      </c>
      <c r="I185" s="8">
        <v>159789</v>
      </c>
      <c r="J185" s="8">
        <v>152144</v>
      </c>
      <c r="K185" s="8">
        <v>162216</v>
      </c>
      <c r="L185" s="8">
        <v>173883</v>
      </c>
      <c r="M185" s="8">
        <v>171375</v>
      </c>
      <c r="N185" s="8">
        <v>169328</v>
      </c>
      <c r="O185" s="8">
        <v>150874</v>
      </c>
      <c r="P185" s="8">
        <v>126407</v>
      </c>
      <c r="Q185" s="8">
        <v>97858</v>
      </c>
      <c r="R185" s="8">
        <v>68104</v>
      </c>
      <c r="S185" s="8">
        <v>44337</v>
      </c>
      <c r="T185" s="8">
        <v>34869</v>
      </c>
      <c r="U185" s="7">
        <f t="shared" si="8"/>
        <v>22.58389286450511</v>
      </c>
      <c r="V185" s="7">
        <f t="shared" si="9"/>
        <v>70.637773507671469</v>
      </c>
      <c r="W185" s="7">
        <f t="shared" si="10"/>
        <v>6.7783336278234243</v>
      </c>
      <c r="X185" s="7">
        <f>SUM(I185:L185)/D185*100</f>
        <v>29.818594104308389</v>
      </c>
      <c r="Y185" s="7">
        <f t="shared" si="11"/>
        <v>41.567315947663204</v>
      </c>
    </row>
    <row r="186" spans="1:25" x14ac:dyDescent="0.25">
      <c r="A186" s="57">
        <v>3277</v>
      </c>
      <c r="B186" t="s">
        <v>58</v>
      </c>
      <c r="C186" t="s">
        <v>263</v>
      </c>
      <c r="D186" s="8">
        <v>613954</v>
      </c>
      <c r="E186" s="8">
        <v>46862</v>
      </c>
      <c r="F186" s="8">
        <v>43259</v>
      </c>
      <c r="G186" s="8">
        <v>41861</v>
      </c>
      <c r="H186" s="8">
        <v>46408</v>
      </c>
      <c r="I186" s="8">
        <v>49422</v>
      </c>
      <c r="J186" s="8">
        <v>50342</v>
      </c>
      <c r="K186" s="8">
        <v>49989</v>
      </c>
      <c r="L186" s="8">
        <v>45385</v>
      </c>
      <c r="M186" s="8">
        <v>43957</v>
      </c>
      <c r="N186" s="8">
        <v>45367</v>
      </c>
      <c r="O186" s="8">
        <v>41445</v>
      </c>
      <c r="P186" s="8">
        <v>35704</v>
      </c>
      <c r="Q186" s="8">
        <v>28235</v>
      </c>
      <c r="R186" s="8">
        <v>20246</v>
      </c>
      <c r="S186" s="8">
        <v>13871</v>
      </c>
      <c r="T186" s="8">
        <v>11601</v>
      </c>
      <c r="U186" s="7">
        <f t="shared" si="8"/>
        <v>21.497050267609623</v>
      </c>
      <c r="V186" s="7">
        <f t="shared" si="9"/>
        <v>71.05646351355314</v>
      </c>
      <c r="W186" s="7">
        <f t="shared" si="10"/>
        <v>7.4464862188372418</v>
      </c>
      <c r="X186" s="7">
        <f>SUM(I186:L186)/D186*100</f>
        <v>31.783814422578889</v>
      </c>
      <c r="Y186" s="7">
        <f t="shared" si="11"/>
        <v>40.733150870822961</v>
      </c>
    </row>
    <row r="187" spans="1:25" x14ac:dyDescent="0.25">
      <c r="A187" s="57">
        <v>3278</v>
      </c>
      <c r="B187" t="s">
        <v>58</v>
      </c>
      <c r="C187" t="s">
        <v>264</v>
      </c>
      <c r="D187" s="8">
        <v>767854</v>
      </c>
      <c r="E187" s="8">
        <v>61294</v>
      </c>
      <c r="F187" s="8">
        <v>62115</v>
      </c>
      <c r="G187" s="8">
        <v>56043</v>
      </c>
      <c r="H187" s="8">
        <v>60539</v>
      </c>
      <c r="I187" s="8">
        <v>61619</v>
      </c>
      <c r="J187" s="8">
        <v>60597</v>
      </c>
      <c r="K187" s="8">
        <v>59532</v>
      </c>
      <c r="L187" s="8">
        <v>57643</v>
      </c>
      <c r="M187" s="8">
        <v>54285</v>
      </c>
      <c r="N187" s="8">
        <v>50998</v>
      </c>
      <c r="O187" s="8">
        <v>46185</v>
      </c>
      <c r="P187" s="8">
        <v>40141</v>
      </c>
      <c r="Q187" s="8">
        <v>34610</v>
      </c>
      <c r="R187" s="8">
        <v>26059</v>
      </c>
      <c r="S187" s="8">
        <v>18776</v>
      </c>
      <c r="T187" s="8">
        <v>17418</v>
      </c>
      <c r="U187" s="7">
        <f t="shared" si="8"/>
        <v>23.370588679618781</v>
      </c>
      <c r="V187" s="7">
        <f t="shared" si="9"/>
        <v>68.522010694741454</v>
      </c>
      <c r="W187" s="7">
        <f t="shared" si="10"/>
        <v>8.1074006256397695</v>
      </c>
      <c r="X187" s="7">
        <f>SUM(I187:L187)/D187*100</f>
        <v>31.176629932252748</v>
      </c>
      <c r="Y187" s="7">
        <f t="shared" si="11"/>
        <v>45.938507913157679</v>
      </c>
    </row>
    <row r="188" spans="1:25" x14ac:dyDescent="0.25">
      <c r="A188" s="57">
        <v>3279</v>
      </c>
      <c r="B188" t="s">
        <v>58</v>
      </c>
      <c r="C188" t="s">
        <v>265</v>
      </c>
      <c r="D188" s="8">
        <v>214084</v>
      </c>
      <c r="E188" s="8">
        <v>16908</v>
      </c>
      <c r="F188" s="8">
        <v>16292</v>
      </c>
      <c r="G188" s="8">
        <v>14274</v>
      </c>
      <c r="H188" s="8">
        <v>15281</v>
      </c>
      <c r="I188" s="8">
        <v>16677</v>
      </c>
      <c r="J188" s="8">
        <v>17220</v>
      </c>
      <c r="K188" s="8">
        <v>17120</v>
      </c>
      <c r="L188" s="8">
        <v>15665</v>
      </c>
      <c r="M188" s="8">
        <v>14915</v>
      </c>
      <c r="N188" s="8">
        <v>13386</v>
      </c>
      <c r="O188" s="8">
        <v>12178</v>
      </c>
      <c r="P188" s="8">
        <v>11599</v>
      </c>
      <c r="Q188" s="8">
        <v>11104</v>
      </c>
      <c r="R188" s="8">
        <v>8884</v>
      </c>
      <c r="S188" s="8">
        <v>6556</v>
      </c>
      <c r="T188" s="8">
        <v>6025</v>
      </c>
      <c r="U188" s="7">
        <f t="shared" si="8"/>
        <v>22.175407783860539</v>
      </c>
      <c r="V188" s="7">
        <f t="shared" si="9"/>
        <v>67.798153995627885</v>
      </c>
      <c r="W188" s="7">
        <f t="shared" si="10"/>
        <v>10.026438220511574</v>
      </c>
      <c r="X188" s="7">
        <f>SUM(I188:L188)/D188*100</f>
        <v>31.147586928495357</v>
      </c>
      <c r="Y188" s="7">
        <f t="shared" si="11"/>
        <v>47.496641289744737</v>
      </c>
    </row>
    <row r="189" spans="1:25" x14ac:dyDescent="0.25">
      <c r="A189" s="57">
        <v>3301</v>
      </c>
      <c r="B189" t="s">
        <v>59</v>
      </c>
      <c r="C189" t="s">
        <v>266</v>
      </c>
      <c r="D189" s="8">
        <v>2064810</v>
      </c>
      <c r="E189" s="8">
        <v>156985</v>
      </c>
      <c r="F189" s="8">
        <v>141373</v>
      </c>
      <c r="G189" s="8">
        <v>145924</v>
      </c>
      <c r="H189" s="8">
        <v>149563</v>
      </c>
      <c r="I189" s="8">
        <v>148335</v>
      </c>
      <c r="J189" s="8">
        <v>157094</v>
      </c>
      <c r="K189" s="8">
        <v>155914</v>
      </c>
      <c r="L189" s="8">
        <v>155777</v>
      </c>
      <c r="M189" s="8">
        <v>149551</v>
      </c>
      <c r="N189" s="8">
        <v>137927</v>
      </c>
      <c r="O189" s="8">
        <v>134238</v>
      </c>
      <c r="P189" s="8">
        <v>121811</v>
      </c>
      <c r="Q189" s="8">
        <v>106192</v>
      </c>
      <c r="R189" s="8">
        <v>82149</v>
      </c>
      <c r="S189" s="8">
        <v>60364</v>
      </c>
      <c r="T189" s="8">
        <v>61613</v>
      </c>
      <c r="U189" s="7">
        <f t="shared" si="8"/>
        <v>21.516846586368722</v>
      </c>
      <c r="V189" s="7">
        <f t="shared" si="9"/>
        <v>68.597207491246166</v>
      </c>
      <c r="W189" s="7">
        <f t="shared" si="10"/>
        <v>9.8859459223851101</v>
      </c>
      <c r="X189" s="7">
        <f>SUM(I189:L189)/D189*100</f>
        <v>29.887495701783699</v>
      </c>
      <c r="Y189" s="7">
        <f t="shared" si="11"/>
        <v>45.778528976942987</v>
      </c>
    </row>
    <row r="190" spans="1:25" x14ac:dyDescent="0.25">
      <c r="A190" s="57">
        <v>3302</v>
      </c>
      <c r="B190" t="s">
        <v>59</v>
      </c>
      <c r="C190" t="s">
        <v>267</v>
      </c>
      <c r="D190" s="8">
        <v>1883070</v>
      </c>
      <c r="E190" s="8">
        <v>138368</v>
      </c>
      <c r="F190" s="8">
        <v>135093</v>
      </c>
      <c r="G190" s="8">
        <v>130721</v>
      </c>
      <c r="H190" s="8">
        <v>135433</v>
      </c>
      <c r="I190" s="8">
        <v>138086</v>
      </c>
      <c r="J190" s="8">
        <v>139073</v>
      </c>
      <c r="K190" s="8">
        <v>134430</v>
      </c>
      <c r="L190" s="8">
        <v>132358</v>
      </c>
      <c r="M190" s="8">
        <v>133600</v>
      </c>
      <c r="N190" s="8">
        <v>133431</v>
      </c>
      <c r="O190" s="8">
        <v>129887</v>
      </c>
      <c r="P190" s="8">
        <v>113292</v>
      </c>
      <c r="Q190" s="8">
        <v>96098</v>
      </c>
      <c r="R190" s="8">
        <v>75605</v>
      </c>
      <c r="S190" s="8">
        <v>57291</v>
      </c>
      <c r="T190" s="8">
        <v>60304</v>
      </c>
      <c r="U190" s="7">
        <f t="shared" si="8"/>
        <v>21.463992310429244</v>
      </c>
      <c r="V190" s="7">
        <f t="shared" si="9"/>
        <v>68.276166047996085</v>
      </c>
      <c r="W190" s="7">
        <f t="shared" si="10"/>
        <v>10.259841641574663</v>
      </c>
      <c r="X190" s="7">
        <f>SUM(I190:L190)/D190*100</f>
        <v>28.88618054559841</v>
      </c>
      <c r="Y190" s="7">
        <f t="shared" si="11"/>
        <v>46.463994374996112</v>
      </c>
    </row>
    <row r="191" spans="1:25" x14ac:dyDescent="0.25">
      <c r="A191" s="57">
        <v>3303</v>
      </c>
      <c r="B191" t="s">
        <v>59</v>
      </c>
      <c r="C191" t="s">
        <v>268</v>
      </c>
      <c r="D191" s="8">
        <v>1057643</v>
      </c>
      <c r="E191" s="8">
        <v>81355</v>
      </c>
      <c r="F191" s="8">
        <v>79098</v>
      </c>
      <c r="G191" s="8">
        <v>76417</v>
      </c>
      <c r="H191" s="8">
        <v>79511</v>
      </c>
      <c r="I191" s="8">
        <v>79530</v>
      </c>
      <c r="J191" s="8">
        <v>79093</v>
      </c>
      <c r="K191" s="8">
        <v>77711</v>
      </c>
      <c r="L191" s="8">
        <v>76288</v>
      </c>
      <c r="M191" s="8">
        <v>76483</v>
      </c>
      <c r="N191" s="8">
        <v>74131</v>
      </c>
      <c r="O191" s="8">
        <v>68597</v>
      </c>
      <c r="P191" s="8">
        <v>58570</v>
      </c>
      <c r="Q191" s="8">
        <v>49604</v>
      </c>
      <c r="R191" s="8">
        <v>39186</v>
      </c>
      <c r="S191" s="8">
        <v>29207</v>
      </c>
      <c r="T191" s="8">
        <v>32862</v>
      </c>
      <c r="U191" s="7">
        <f t="shared" si="8"/>
        <v>22.396025880188304</v>
      </c>
      <c r="V191" s="7">
        <f t="shared" si="9"/>
        <v>68.03032781382754</v>
      </c>
      <c r="W191" s="7">
        <f t="shared" si="10"/>
        <v>9.5736463059841554</v>
      </c>
      <c r="X191" s="7">
        <f>SUM(I191:L191)/D191*100</f>
        <v>29.558367048238392</v>
      </c>
      <c r="Y191" s="7">
        <f t="shared" si="11"/>
        <v>46.993264935693063</v>
      </c>
    </row>
    <row r="192" spans="1:25" x14ac:dyDescent="0.25">
      <c r="A192" s="57">
        <v>3304</v>
      </c>
      <c r="B192" t="s">
        <v>59</v>
      </c>
      <c r="C192" t="s">
        <v>269</v>
      </c>
      <c r="D192" s="8">
        <v>1077335</v>
      </c>
      <c r="E192" s="8">
        <v>83354</v>
      </c>
      <c r="F192" s="8">
        <v>76327</v>
      </c>
      <c r="G192" s="8">
        <v>77230</v>
      </c>
      <c r="H192" s="8">
        <v>78011</v>
      </c>
      <c r="I192" s="8">
        <v>77602</v>
      </c>
      <c r="J192" s="8">
        <v>77714</v>
      </c>
      <c r="K192" s="8">
        <v>82638</v>
      </c>
      <c r="L192" s="8">
        <v>80712</v>
      </c>
      <c r="M192" s="8">
        <v>79313</v>
      </c>
      <c r="N192" s="8">
        <v>73640</v>
      </c>
      <c r="O192" s="8">
        <v>68451</v>
      </c>
      <c r="P192" s="8">
        <v>61471</v>
      </c>
      <c r="Q192" s="8">
        <v>52812</v>
      </c>
      <c r="R192" s="8">
        <v>42919</v>
      </c>
      <c r="S192" s="8">
        <v>31410</v>
      </c>
      <c r="T192" s="8">
        <v>33731</v>
      </c>
      <c r="U192" s="7">
        <f t="shared" si="8"/>
        <v>21.990467217717793</v>
      </c>
      <c r="V192" s="7">
        <f t="shared" si="9"/>
        <v>67.97922651728571</v>
      </c>
      <c r="W192" s="7">
        <f t="shared" si="10"/>
        <v>10.030306264996495</v>
      </c>
      <c r="X192" s="7">
        <f>SUM(I192:L192)/D192*100</f>
        <v>29.57910027985724</v>
      </c>
      <c r="Y192" s="7">
        <f t="shared" si="11"/>
        <v>47.103762609849746</v>
      </c>
    </row>
    <row r="193" spans="1:25" x14ac:dyDescent="0.25">
      <c r="A193" s="57">
        <v>3305</v>
      </c>
      <c r="B193" t="s">
        <v>59</v>
      </c>
      <c r="C193" t="s">
        <v>270</v>
      </c>
      <c r="D193" s="8">
        <v>1448563</v>
      </c>
      <c r="E193" s="8">
        <v>112590</v>
      </c>
      <c r="F193" s="8">
        <v>105010</v>
      </c>
      <c r="G193" s="8">
        <v>98869</v>
      </c>
      <c r="H193" s="8">
        <v>103936</v>
      </c>
      <c r="I193" s="8">
        <v>107849</v>
      </c>
      <c r="J193" s="8">
        <v>116869</v>
      </c>
      <c r="K193" s="8">
        <v>113487</v>
      </c>
      <c r="L193" s="8">
        <v>109205</v>
      </c>
      <c r="M193" s="8">
        <v>97835</v>
      </c>
      <c r="N193" s="8">
        <v>90872</v>
      </c>
      <c r="O193" s="8">
        <v>86243</v>
      </c>
      <c r="P193" s="8">
        <v>82438</v>
      </c>
      <c r="Q193" s="8">
        <v>73970</v>
      </c>
      <c r="R193" s="8">
        <v>59873</v>
      </c>
      <c r="S193" s="8">
        <v>43761</v>
      </c>
      <c r="T193" s="8">
        <v>45756</v>
      </c>
      <c r="U193" s="7">
        <f t="shared" si="8"/>
        <v>21.847099504819603</v>
      </c>
      <c r="V193" s="7">
        <f t="shared" si="9"/>
        <v>67.83992135654438</v>
      </c>
      <c r="W193" s="7">
        <f t="shared" si="10"/>
        <v>10.312979138636013</v>
      </c>
      <c r="X193" s="7">
        <f>SUM(I193:L193)/D193*100</f>
        <v>30.886471627399015</v>
      </c>
      <c r="Y193" s="7">
        <f t="shared" si="11"/>
        <v>47.405831257428481</v>
      </c>
    </row>
    <row r="194" spans="1:25" x14ac:dyDescent="0.25">
      <c r="A194" s="57">
        <v>3306</v>
      </c>
      <c r="B194" t="s">
        <v>59</v>
      </c>
      <c r="C194" t="s">
        <v>271</v>
      </c>
      <c r="D194" s="8">
        <v>808153</v>
      </c>
      <c r="E194" s="8">
        <v>57177</v>
      </c>
      <c r="F194" s="8">
        <v>53521</v>
      </c>
      <c r="G194" s="8">
        <v>52289</v>
      </c>
      <c r="H194" s="8">
        <v>55454</v>
      </c>
      <c r="I194" s="8">
        <v>58054</v>
      </c>
      <c r="J194" s="8">
        <v>61146</v>
      </c>
      <c r="K194" s="8">
        <v>59028</v>
      </c>
      <c r="L194" s="8">
        <v>56370</v>
      </c>
      <c r="M194" s="8">
        <v>52079</v>
      </c>
      <c r="N194" s="8">
        <v>51197</v>
      </c>
      <c r="O194" s="8">
        <v>50715</v>
      </c>
      <c r="P194" s="8">
        <v>52614</v>
      </c>
      <c r="Q194" s="8">
        <v>48569</v>
      </c>
      <c r="R194" s="8">
        <v>40227</v>
      </c>
      <c r="S194" s="8">
        <v>28905</v>
      </c>
      <c r="T194" s="8">
        <v>30808</v>
      </c>
      <c r="U194" s="7">
        <f t="shared" si="8"/>
        <v>20.167839505638167</v>
      </c>
      <c r="V194" s="7">
        <f t="shared" si="9"/>
        <v>67.465690283894261</v>
      </c>
      <c r="W194" s="7">
        <f t="shared" si="10"/>
        <v>12.366470210467572</v>
      </c>
      <c r="X194" s="7">
        <f>SUM(I194:L194)/D194*100</f>
        <v>29.028909129830616</v>
      </c>
      <c r="Y194" s="7">
        <f t="shared" si="11"/>
        <v>48.223488975213947</v>
      </c>
    </row>
    <row r="195" spans="1:25" x14ac:dyDescent="0.25">
      <c r="A195" s="57">
        <v>3307</v>
      </c>
      <c r="B195" t="s">
        <v>59</v>
      </c>
      <c r="C195" t="s">
        <v>272</v>
      </c>
      <c r="D195" s="8">
        <v>941526</v>
      </c>
      <c r="E195" s="8">
        <v>74211</v>
      </c>
      <c r="F195" s="8">
        <v>69755</v>
      </c>
      <c r="G195" s="8">
        <v>65767</v>
      </c>
      <c r="H195" s="8">
        <v>67121</v>
      </c>
      <c r="I195" s="8">
        <v>68080</v>
      </c>
      <c r="J195" s="8">
        <v>71335</v>
      </c>
      <c r="K195" s="8">
        <v>73036</v>
      </c>
      <c r="L195" s="8">
        <v>69543</v>
      </c>
      <c r="M195" s="8">
        <v>65364</v>
      </c>
      <c r="N195" s="8">
        <v>64606</v>
      </c>
      <c r="O195" s="8">
        <v>61873</v>
      </c>
      <c r="P195" s="8">
        <v>56599</v>
      </c>
      <c r="Q195" s="8">
        <v>46523</v>
      </c>
      <c r="R195" s="8">
        <v>36093</v>
      </c>
      <c r="S195" s="8">
        <v>26378</v>
      </c>
      <c r="T195" s="8">
        <v>25242</v>
      </c>
      <c r="U195" s="7">
        <f t="shared" ref="U195:U258" si="12">SUM(E195:G195)/D195*100</f>
        <v>22.275858553029867</v>
      </c>
      <c r="V195" s="7">
        <f t="shared" ref="V195:V258" si="13">SUM(H195:Q195)/D195*100</f>
        <v>68.408094943740267</v>
      </c>
      <c r="W195" s="7">
        <f t="shared" ref="W195:W258" si="14">SUM(R195:T195)/D195*100</f>
        <v>9.3160465032298632</v>
      </c>
      <c r="X195" s="7">
        <f>SUM(I195:L195)/D195*100</f>
        <v>29.950739544101808</v>
      </c>
      <c r="Y195" s="7">
        <f t="shared" ref="Y195:Y258" si="15">SUM(E195:G195,R195:T195)/SUM(H195:Q195)*100</f>
        <v>46.181530244690101</v>
      </c>
    </row>
    <row r="196" spans="1:25" x14ac:dyDescent="0.25">
      <c r="A196" s="57">
        <v>3308</v>
      </c>
      <c r="B196" t="s">
        <v>59</v>
      </c>
      <c r="C196" t="s">
        <v>273</v>
      </c>
      <c r="D196" s="8">
        <v>1362099</v>
      </c>
      <c r="E196" s="8">
        <v>98343</v>
      </c>
      <c r="F196" s="8">
        <v>93899</v>
      </c>
      <c r="G196" s="8">
        <v>92667</v>
      </c>
      <c r="H196" s="8">
        <v>97793</v>
      </c>
      <c r="I196" s="8">
        <v>97583</v>
      </c>
      <c r="J196" s="8">
        <v>101336</v>
      </c>
      <c r="K196" s="8">
        <v>100372</v>
      </c>
      <c r="L196" s="8">
        <v>95505</v>
      </c>
      <c r="M196" s="8">
        <v>93200</v>
      </c>
      <c r="N196" s="8">
        <v>94803</v>
      </c>
      <c r="O196" s="8">
        <v>92632</v>
      </c>
      <c r="P196" s="8">
        <v>87607</v>
      </c>
      <c r="Q196" s="8">
        <v>72807</v>
      </c>
      <c r="R196" s="8">
        <v>58071</v>
      </c>
      <c r="S196" s="8">
        <v>42251</v>
      </c>
      <c r="T196" s="8">
        <v>43230</v>
      </c>
      <c r="U196" s="7">
        <f t="shared" si="12"/>
        <v>20.916908389184634</v>
      </c>
      <c r="V196" s="7">
        <f t="shared" si="13"/>
        <v>68.544063243567464</v>
      </c>
      <c r="W196" s="7">
        <f t="shared" si="14"/>
        <v>10.539028367247901</v>
      </c>
      <c r="X196" s="7">
        <f>SUM(I196:L196)/D196*100</f>
        <v>28.984383660805857</v>
      </c>
      <c r="Y196" s="7">
        <f t="shared" si="15"/>
        <v>45.891555399416042</v>
      </c>
    </row>
    <row r="197" spans="1:25" x14ac:dyDescent="0.25">
      <c r="A197" s="57">
        <v>3309</v>
      </c>
      <c r="B197" t="s">
        <v>59</v>
      </c>
      <c r="C197" t="s">
        <v>274</v>
      </c>
      <c r="D197" s="8">
        <v>1118557</v>
      </c>
      <c r="E197" s="8">
        <v>82392</v>
      </c>
      <c r="F197" s="8">
        <v>80897</v>
      </c>
      <c r="G197" s="8">
        <v>78394</v>
      </c>
      <c r="H197" s="8">
        <v>80957</v>
      </c>
      <c r="I197" s="8">
        <v>81197</v>
      </c>
      <c r="J197" s="8">
        <v>82195</v>
      </c>
      <c r="K197" s="8">
        <v>80529</v>
      </c>
      <c r="L197" s="8">
        <v>80148</v>
      </c>
      <c r="M197" s="8">
        <v>79764</v>
      </c>
      <c r="N197" s="8">
        <v>76501</v>
      </c>
      <c r="O197" s="8">
        <v>71212</v>
      </c>
      <c r="P197" s="8">
        <v>66397</v>
      </c>
      <c r="Q197" s="8">
        <v>57589</v>
      </c>
      <c r="R197" s="8">
        <v>47185</v>
      </c>
      <c r="S197" s="8">
        <v>34276</v>
      </c>
      <c r="T197" s="8">
        <v>38924</v>
      </c>
      <c r="U197" s="7">
        <f t="shared" si="12"/>
        <v>21.606677174252184</v>
      </c>
      <c r="V197" s="7">
        <f t="shared" si="13"/>
        <v>67.630795748450907</v>
      </c>
      <c r="W197" s="7">
        <f t="shared" si="14"/>
        <v>10.762527077296911</v>
      </c>
      <c r="X197" s="7">
        <f>SUM(I197:L197)/D197*100</f>
        <v>28.972059537421874</v>
      </c>
      <c r="Y197" s="7">
        <f t="shared" si="15"/>
        <v>47.861634471882603</v>
      </c>
    </row>
    <row r="198" spans="1:25" x14ac:dyDescent="0.25">
      <c r="A198" s="57">
        <v>3310</v>
      </c>
      <c r="B198" t="s">
        <v>59</v>
      </c>
      <c r="C198" t="s">
        <v>275</v>
      </c>
      <c r="D198" s="8">
        <v>1308775</v>
      </c>
      <c r="E198" s="8">
        <v>85272</v>
      </c>
      <c r="F198" s="8">
        <v>86938</v>
      </c>
      <c r="G198" s="8">
        <v>85766</v>
      </c>
      <c r="H198" s="8">
        <v>92189</v>
      </c>
      <c r="I198" s="8">
        <v>94241</v>
      </c>
      <c r="J198" s="8">
        <v>91002</v>
      </c>
      <c r="K198" s="8">
        <v>89255</v>
      </c>
      <c r="L198" s="8">
        <v>90922</v>
      </c>
      <c r="M198" s="8">
        <v>96172</v>
      </c>
      <c r="N198" s="8">
        <v>95908</v>
      </c>
      <c r="O198" s="8">
        <v>90385</v>
      </c>
      <c r="P198" s="8">
        <v>85327</v>
      </c>
      <c r="Q198" s="8">
        <v>74009</v>
      </c>
      <c r="R198" s="8">
        <v>59212</v>
      </c>
      <c r="S198" s="8">
        <v>43981</v>
      </c>
      <c r="T198" s="8">
        <v>48196</v>
      </c>
      <c r="U198" s="7">
        <f t="shared" si="12"/>
        <v>19.711256709518445</v>
      </c>
      <c r="V198" s="7">
        <f t="shared" si="13"/>
        <v>68.721514393230308</v>
      </c>
      <c r="W198" s="7">
        <f t="shared" si="14"/>
        <v>11.567228897251246</v>
      </c>
      <c r="X198" s="7">
        <f>SUM(I198:L198)/D198*100</f>
        <v>27.920765601421177</v>
      </c>
      <c r="Y198" s="7">
        <f t="shared" si="15"/>
        <v>45.514837504586339</v>
      </c>
    </row>
    <row r="199" spans="1:25" x14ac:dyDescent="0.25">
      <c r="A199" s="57">
        <v>3311</v>
      </c>
      <c r="B199" t="s">
        <v>59</v>
      </c>
      <c r="C199" t="s">
        <v>276</v>
      </c>
      <c r="D199" s="8">
        <v>959018</v>
      </c>
      <c r="E199" s="8">
        <v>65513</v>
      </c>
      <c r="F199" s="8">
        <v>63537</v>
      </c>
      <c r="G199" s="8">
        <v>65048</v>
      </c>
      <c r="H199" s="8">
        <v>70464</v>
      </c>
      <c r="I199" s="8">
        <v>71197</v>
      </c>
      <c r="J199" s="8">
        <v>68354</v>
      </c>
      <c r="K199" s="8">
        <v>68485</v>
      </c>
      <c r="L199" s="8">
        <v>67380</v>
      </c>
      <c r="M199" s="8">
        <v>70303</v>
      </c>
      <c r="N199" s="8">
        <v>71955</v>
      </c>
      <c r="O199" s="8">
        <v>66230</v>
      </c>
      <c r="P199" s="8">
        <v>60759</v>
      </c>
      <c r="Q199" s="8">
        <v>51783</v>
      </c>
      <c r="R199" s="8">
        <v>39812</v>
      </c>
      <c r="S199" s="8">
        <v>28580</v>
      </c>
      <c r="T199" s="8">
        <v>29618</v>
      </c>
      <c r="U199" s="7">
        <f t="shared" si="12"/>
        <v>20.239244727419088</v>
      </c>
      <c r="V199" s="7">
        <f t="shared" si="13"/>
        <v>69.540926239132119</v>
      </c>
      <c r="W199" s="7">
        <f t="shared" si="14"/>
        <v>10.219829033448798</v>
      </c>
      <c r="X199" s="7">
        <f>SUM(I199:L199)/D199*100</f>
        <v>28.718543343294911</v>
      </c>
      <c r="Y199" s="7">
        <f t="shared" si="15"/>
        <v>43.800212922283364</v>
      </c>
    </row>
    <row r="200" spans="1:25" x14ac:dyDescent="0.25">
      <c r="A200" s="57">
        <v>3312</v>
      </c>
      <c r="B200" t="s">
        <v>59</v>
      </c>
      <c r="C200" t="s">
        <v>277</v>
      </c>
      <c r="D200" s="8">
        <v>1059766</v>
      </c>
      <c r="E200" s="8">
        <v>65455</v>
      </c>
      <c r="F200" s="8">
        <v>60846</v>
      </c>
      <c r="G200" s="8">
        <v>60992</v>
      </c>
      <c r="H200" s="8">
        <v>67633</v>
      </c>
      <c r="I200" s="8">
        <v>76339</v>
      </c>
      <c r="J200" s="8">
        <v>76774</v>
      </c>
      <c r="K200" s="8">
        <v>71595</v>
      </c>
      <c r="L200" s="8">
        <v>67614</v>
      </c>
      <c r="M200" s="8">
        <v>68677</v>
      </c>
      <c r="N200" s="8">
        <v>69377</v>
      </c>
      <c r="O200" s="8">
        <v>72114</v>
      </c>
      <c r="P200" s="8">
        <v>73622</v>
      </c>
      <c r="Q200" s="8">
        <v>66574</v>
      </c>
      <c r="R200" s="8">
        <v>58997</v>
      </c>
      <c r="S200" s="8">
        <v>46456</v>
      </c>
      <c r="T200" s="8">
        <v>56701</v>
      </c>
      <c r="U200" s="7">
        <f t="shared" si="12"/>
        <v>17.67305235306662</v>
      </c>
      <c r="V200" s="7">
        <f t="shared" si="13"/>
        <v>67.02602272577154</v>
      </c>
      <c r="W200" s="7">
        <f t="shared" si="14"/>
        <v>15.30092492116184</v>
      </c>
      <c r="X200" s="7">
        <f>SUM(I200:L200)/D200*100</f>
        <v>27.583636387655385</v>
      </c>
      <c r="Y200" s="7">
        <f t="shared" si="15"/>
        <v>49.19578386612212</v>
      </c>
    </row>
    <row r="201" spans="1:25" x14ac:dyDescent="0.25">
      <c r="A201" s="57">
        <v>3313</v>
      </c>
      <c r="B201" t="s">
        <v>59</v>
      </c>
      <c r="C201" t="s">
        <v>278</v>
      </c>
      <c r="D201" s="8">
        <v>974825</v>
      </c>
      <c r="E201" s="8">
        <v>63954</v>
      </c>
      <c r="F201" s="8">
        <v>70235</v>
      </c>
      <c r="G201" s="8">
        <v>68360</v>
      </c>
      <c r="H201" s="8">
        <v>69628</v>
      </c>
      <c r="I201" s="8">
        <v>69789</v>
      </c>
      <c r="J201" s="8">
        <v>67728</v>
      </c>
      <c r="K201" s="8">
        <v>67968</v>
      </c>
      <c r="L201" s="8">
        <v>68070</v>
      </c>
      <c r="M201" s="8">
        <v>72632</v>
      </c>
      <c r="N201" s="8">
        <v>71902</v>
      </c>
      <c r="O201" s="8">
        <v>65948</v>
      </c>
      <c r="P201" s="8">
        <v>60871</v>
      </c>
      <c r="Q201" s="8">
        <v>51190</v>
      </c>
      <c r="R201" s="8">
        <v>41892</v>
      </c>
      <c r="S201" s="8">
        <v>30306</v>
      </c>
      <c r="T201" s="8">
        <v>34352</v>
      </c>
      <c r="U201" s="7">
        <f t="shared" si="12"/>
        <v>20.777985792321697</v>
      </c>
      <c r="V201" s="7">
        <f t="shared" si="13"/>
        <v>68.291847254635456</v>
      </c>
      <c r="W201" s="7">
        <f t="shared" si="14"/>
        <v>10.930166953042853</v>
      </c>
      <c r="X201" s="7">
        <f>SUM(I201:L201)/D201*100</f>
        <v>28.061959838945448</v>
      </c>
      <c r="Y201" s="7">
        <f t="shared" si="15"/>
        <v>46.430363242535215</v>
      </c>
    </row>
    <row r="202" spans="1:25" x14ac:dyDescent="0.25">
      <c r="A202" s="57">
        <v>3314</v>
      </c>
      <c r="B202" t="s">
        <v>59</v>
      </c>
      <c r="C202" t="s">
        <v>279</v>
      </c>
      <c r="D202" s="8">
        <v>1018657</v>
      </c>
      <c r="E202" s="8">
        <v>69649</v>
      </c>
      <c r="F202" s="8">
        <v>67866</v>
      </c>
      <c r="G202" s="8">
        <v>69096</v>
      </c>
      <c r="H202" s="8">
        <v>74876</v>
      </c>
      <c r="I202" s="8">
        <v>74140</v>
      </c>
      <c r="J202" s="8">
        <v>71719</v>
      </c>
      <c r="K202" s="8">
        <v>69105</v>
      </c>
      <c r="L202" s="8">
        <v>69305</v>
      </c>
      <c r="M202" s="8">
        <v>75955</v>
      </c>
      <c r="N202" s="8">
        <v>74773</v>
      </c>
      <c r="O202" s="8">
        <v>67643</v>
      </c>
      <c r="P202" s="8">
        <v>62866</v>
      </c>
      <c r="Q202" s="8">
        <v>53898</v>
      </c>
      <c r="R202" s="8">
        <v>46013</v>
      </c>
      <c r="S202" s="8">
        <v>34300</v>
      </c>
      <c r="T202" s="8">
        <v>37453</v>
      </c>
      <c r="U202" s="7">
        <f t="shared" si="12"/>
        <v>20.282685928629558</v>
      </c>
      <c r="V202" s="7">
        <f t="shared" si="13"/>
        <v>68.156405934480404</v>
      </c>
      <c r="W202" s="7">
        <f t="shared" si="14"/>
        <v>11.560908136890042</v>
      </c>
      <c r="X202" s="7">
        <f>SUM(I202:L202)/D202*100</f>
        <v>27.906253037087065</v>
      </c>
      <c r="Y202" s="7">
        <f t="shared" si="15"/>
        <v>46.721351616062684</v>
      </c>
    </row>
    <row r="203" spans="1:25" x14ac:dyDescent="0.25">
      <c r="A203" s="57">
        <v>3315</v>
      </c>
      <c r="B203" t="s">
        <v>59</v>
      </c>
      <c r="C203" t="s">
        <v>280</v>
      </c>
      <c r="D203" s="8">
        <v>1531863</v>
      </c>
      <c r="E203" s="8">
        <v>118493</v>
      </c>
      <c r="F203" s="8">
        <v>114898</v>
      </c>
      <c r="G203" s="8">
        <v>105795</v>
      </c>
      <c r="H203" s="8">
        <v>108824</v>
      </c>
      <c r="I203" s="8">
        <v>110300</v>
      </c>
      <c r="J203" s="8">
        <v>115668</v>
      </c>
      <c r="K203" s="8">
        <v>114906</v>
      </c>
      <c r="L203" s="8">
        <v>117108</v>
      </c>
      <c r="M203" s="8">
        <v>105862</v>
      </c>
      <c r="N203" s="8">
        <v>101382</v>
      </c>
      <c r="O203" s="8">
        <v>95135</v>
      </c>
      <c r="P203" s="8">
        <v>91771</v>
      </c>
      <c r="Q203" s="8">
        <v>82467</v>
      </c>
      <c r="R203" s="8">
        <v>63097</v>
      </c>
      <c r="S203" s="8">
        <v>41933</v>
      </c>
      <c r="T203" s="8">
        <v>44224</v>
      </c>
      <c r="U203" s="7">
        <f t="shared" si="12"/>
        <v>22.142058395561484</v>
      </c>
      <c r="V203" s="7">
        <f t="shared" si="13"/>
        <v>68.114642105723561</v>
      </c>
      <c r="W203" s="7">
        <f t="shared" si="14"/>
        <v>9.743299498714963</v>
      </c>
      <c r="X203" s="7">
        <f>SUM(I203:L203)/D203*100</f>
        <v>29.897059985129221</v>
      </c>
      <c r="Y203" s="7">
        <f t="shared" si="15"/>
        <v>46.811312382418251</v>
      </c>
    </row>
    <row r="204" spans="1:25" x14ac:dyDescent="0.25">
      <c r="A204" s="57">
        <v>3316</v>
      </c>
      <c r="B204" t="s">
        <v>59</v>
      </c>
      <c r="C204" t="s">
        <v>281</v>
      </c>
      <c r="D204" s="8">
        <v>920104</v>
      </c>
      <c r="E204" s="8">
        <v>63856</v>
      </c>
      <c r="F204" s="8">
        <v>54972</v>
      </c>
      <c r="G204" s="8">
        <v>57110</v>
      </c>
      <c r="H204" s="8">
        <v>62703</v>
      </c>
      <c r="I204" s="8">
        <v>67772</v>
      </c>
      <c r="J204" s="8">
        <v>67195</v>
      </c>
      <c r="K204" s="8">
        <v>65383</v>
      </c>
      <c r="L204" s="8">
        <v>65837</v>
      </c>
      <c r="M204" s="8">
        <v>65031</v>
      </c>
      <c r="N204" s="8">
        <v>67259</v>
      </c>
      <c r="O204" s="8">
        <v>63557</v>
      </c>
      <c r="P204" s="8">
        <v>60067</v>
      </c>
      <c r="Q204" s="8">
        <v>54580</v>
      </c>
      <c r="R204" s="8">
        <v>44006</v>
      </c>
      <c r="S204" s="8">
        <v>31709</v>
      </c>
      <c r="T204" s="8">
        <v>29067</v>
      </c>
      <c r="U204" s="7">
        <f t="shared" si="12"/>
        <v>19.121534087450982</v>
      </c>
      <c r="V204" s="7">
        <f t="shared" si="13"/>
        <v>69.490405432429384</v>
      </c>
      <c r="W204" s="7">
        <f t="shared" si="14"/>
        <v>11.388060480119638</v>
      </c>
      <c r="X204" s="7">
        <f>SUM(I204:L204)/D204*100</f>
        <v>28.930099206176692</v>
      </c>
      <c r="Y204" s="7">
        <f t="shared" si="15"/>
        <v>43.904758329892523</v>
      </c>
    </row>
    <row r="205" spans="1:25" x14ac:dyDescent="0.25">
      <c r="A205" s="57">
        <v>3317</v>
      </c>
      <c r="B205" t="s">
        <v>59</v>
      </c>
      <c r="C205" t="s">
        <v>282</v>
      </c>
      <c r="D205" s="8">
        <v>674717</v>
      </c>
      <c r="E205" s="8">
        <v>47881</v>
      </c>
      <c r="F205" s="8">
        <v>47819</v>
      </c>
      <c r="G205" s="8">
        <v>44563</v>
      </c>
      <c r="H205" s="8">
        <v>44915</v>
      </c>
      <c r="I205" s="8">
        <v>48242</v>
      </c>
      <c r="J205" s="8">
        <v>48986</v>
      </c>
      <c r="K205" s="8">
        <v>49336</v>
      </c>
      <c r="L205" s="8">
        <v>51206</v>
      </c>
      <c r="M205" s="8">
        <v>48793</v>
      </c>
      <c r="N205" s="8">
        <v>49853</v>
      </c>
      <c r="O205" s="8">
        <v>46321</v>
      </c>
      <c r="P205" s="8">
        <v>41556</v>
      </c>
      <c r="Q205" s="8">
        <v>36123</v>
      </c>
      <c r="R205" s="8">
        <v>29382</v>
      </c>
      <c r="S205" s="8">
        <v>20436</v>
      </c>
      <c r="T205" s="8">
        <v>19305</v>
      </c>
      <c r="U205" s="7">
        <f t="shared" si="12"/>
        <v>20.788419441039725</v>
      </c>
      <c r="V205" s="7">
        <f t="shared" si="13"/>
        <v>68.966840912560372</v>
      </c>
      <c r="W205" s="7">
        <f t="shared" si="14"/>
        <v>10.244739646399898</v>
      </c>
      <c r="X205" s="7">
        <f>SUM(I205:L205)/D205*100</f>
        <v>29.311548397328064</v>
      </c>
      <c r="Y205" s="7">
        <f t="shared" si="15"/>
        <v>44.997217034755906</v>
      </c>
    </row>
    <row r="206" spans="1:25" x14ac:dyDescent="0.25">
      <c r="A206" s="57">
        <v>3318</v>
      </c>
      <c r="B206" t="s">
        <v>59</v>
      </c>
      <c r="C206" t="s">
        <v>283</v>
      </c>
      <c r="D206" s="8">
        <v>1392603</v>
      </c>
      <c r="E206" s="8">
        <v>92726</v>
      </c>
      <c r="F206" s="8">
        <v>94486</v>
      </c>
      <c r="G206" s="8">
        <v>93049</v>
      </c>
      <c r="H206" s="8">
        <v>93169</v>
      </c>
      <c r="I206" s="8">
        <v>97725</v>
      </c>
      <c r="J206" s="8">
        <v>101036</v>
      </c>
      <c r="K206" s="8">
        <v>102555</v>
      </c>
      <c r="L206" s="8">
        <v>102405</v>
      </c>
      <c r="M206" s="8">
        <v>101397</v>
      </c>
      <c r="N206" s="8">
        <v>103618</v>
      </c>
      <c r="O206" s="8">
        <v>96954</v>
      </c>
      <c r="P206" s="8">
        <v>89127</v>
      </c>
      <c r="Q206" s="8">
        <v>77261</v>
      </c>
      <c r="R206" s="8">
        <v>62410</v>
      </c>
      <c r="S206" s="8">
        <v>41798</v>
      </c>
      <c r="T206" s="8">
        <v>42887</v>
      </c>
      <c r="U206" s="7">
        <f t="shared" si="12"/>
        <v>20.124974597929203</v>
      </c>
      <c r="V206" s="7">
        <f t="shared" si="13"/>
        <v>69.312431468264819</v>
      </c>
      <c r="W206" s="7">
        <f t="shared" si="14"/>
        <v>10.562593933805973</v>
      </c>
      <c r="X206" s="7">
        <f>SUM(I206:L206)/D206*100</f>
        <v>28.990387066522189</v>
      </c>
      <c r="Y206" s="7">
        <f t="shared" si="15"/>
        <v>44.274263478674371</v>
      </c>
    </row>
    <row r="207" spans="1:25" x14ac:dyDescent="0.25">
      <c r="A207" s="57">
        <v>3319</v>
      </c>
      <c r="B207" t="s">
        <v>59</v>
      </c>
      <c r="C207" t="s">
        <v>284</v>
      </c>
      <c r="D207" s="8">
        <v>899832</v>
      </c>
      <c r="E207" s="8">
        <v>66227</v>
      </c>
      <c r="F207" s="8">
        <v>66311</v>
      </c>
      <c r="G207" s="8">
        <v>65949</v>
      </c>
      <c r="H207" s="8">
        <v>65876</v>
      </c>
      <c r="I207" s="8">
        <v>66575</v>
      </c>
      <c r="J207" s="8">
        <v>65630</v>
      </c>
      <c r="K207" s="8">
        <v>66124</v>
      </c>
      <c r="L207" s="8">
        <v>69532</v>
      </c>
      <c r="M207" s="8">
        <v>68669</v>
      </c>
      <c r="N207" s="8">
        <v>66696</v>
      </c>
      <c r="O207" s="8">
        <v>59771</v>
      </c>
      <c r="P207" s="8">
        <v>54950</v>
      </c>
      <c r="Q207" s="8">
        <v>45095</v>
      </c>
      <c r="R207" s="8">
        <v>33630</v>
      </c>
      <c r="S207" s="8">
        <v>20876</v>
      </c>
      <c r="T207" s="8">
        <v>17921</v>
      </c>
      <c r="U207" s="7">
        <f t="shared" si="12"/>
        <v>22.05822864712524</v>
      </c>
      <c r="V207" s="7">
        <f t="shared" si="13"/>
        <v>69.892824438339602</v>
      </c>
      <c r="W207" s="7">
        <f t="shared" si="14"/>
        <v>8.0489469145351578</v>
      </c>
      <c r="X207" s="7">
        <f>SUM(I207:L207)/D207*100</f>
        <v>29.767890006134479</v>
      </c>
      <c r="Y207" s="7">
        <f t="shared" si="15"/>
        <v>43.076203893035341</v>
      </c>
    </row>
    <row r="208" spans="1:25" x14ac:dyDescent="0.25">
      <c r="A208" s="57">
        <v>3320</v>
      </c>
      <c r="B208" t="s">
        <v>59</v>
      </c>
      <c r="C208" t="s">
        <v>285</v>
      </c>
      <c r="D208" s="8">
        <v>1255376</v>
      </c>
      <c r="E208" s="8">
        <v>93340</v>
      </c>
      <c r="F208" s="8">
        <v>93922</v>
      </c>
      <c r="G208" s="8">
        <v>90803</v>
      </c>
      <c r="H208" s="8">
        <v>92566</v>
      </c>
      <c r="I208" s="8">
        <v>93592</v>
      </c>
      <c r="J208" s="8">
        <v>94863</v>
      </c>
      <c r="K208" s="8">
        <v>95144</v>
      </c>
      <c r="L208" s="8">
        <v>96676</v>
      </c>
      <c r="M208" s="8">
        <v>94128</v>
      </c>
      <c r="N208" s="8">
        <v>91983</v>
      </c>
      <c r="O208" s="8">
        <v>84285</v>
      </c>
      <c r="P208" s="8">
        <v>71840</v>
      </c>
      <c r="Q208" s="8">
        <v>57996</v>
      </c>
      <c r="R208" s="8">
        <v>43614</v>
      </c>
      <c r="S208" s="8">
        <v>29464</v>
      </c>
      <c r="T208" s="8">
        <v>31160</v>
      </c>
      <c r="U208" s="7">
        <f t="shared" si="12"/>
        <v>22.149937548591019</v>
      </c>
      <c r="V208" s="7">
        <f t="shared" si="13"/>
        <v>69.546733408954765</v>
      </c>
      <c r="W208" s="7">
        <f t="shared" si="14"/>
        <v>8.3033290424542141</v>
      </c>
      <c r="X208" s="7">
        <f>SUM(I208:L208)/D208*100</f>
        <v>30.291721364754466</v>
      </c>
      <c r="Y208" s="7">
        <f t="shared" si="15"/>
        <v>43.788205568148371</v>
      </c>
    </row>
    <row r="209" spans="1:25" x14ac:dyDescent="0.25">
      <c r="A209" s="57">
        <v>3321</v>
      </c>
      <c r="B209" t="s">
        <v>59</v>
      </c>
      <c r="C209" t="s">
        <v>286</v>
      </c>
      <c r="D209" s="8">
        <v>1276683</v>
      </c>
      <c r="E209" s="8">
        <v>97518</v>
      </c>
      <c r="F209" s="8">
        <v>100317</v>
      </c>
      <c r="G209" s="8">
        <v>96779</v>
      </c>
      <c r="H209" s="8">
        <v>94125</v>
      </c>
      <c r="I209" s="8">
        <v>94699</v>
      </c>
      <c r="J209" s="8">
        <v>98594</v>
      </c>
      <c r="K209" s="8">
        <v>101601</v>
      </c>
      <c r="L209" s="8">
        <v>102467</v>
      </c>
      <c r="M209" s="8">
        <v>93585</v>
      </c>
      <c r="N209" s="8">
        <v>87234</v>
      </c>
      <c r="O209" s="8">
        <v>79204</v>
      </c>
      <c r="P209" s="8">
        <v>71686</v>
      </c>
      <c r="Q209" s="8">
        <v>58115</v>
      </c>
      <c r="R209" s="8">
        <v>44687</v>
      </c>
      <c r="S209" s="8">
        <v>28672</v>
      </c>
      <c r="T209" s="8">
        <v>27400</v>
      </c>
      <c r="U209" s="7">
        <f t="shared" si="12"/>
        <v>23.076519386566595</v>
      </c>
      <c r="V209" s="7">
        <f t="shared" si="13"/>
        <v>69.031231715312259</v>
      </c>
      <c r="W209" s="7">
        <f t="shared" si="14"/>
        <v>7.8922488981211476</v>
      </c>
      <c r="X209" s="7">
        <f>SUM(I209:L209)/D209*100</f>
        <v>31.124484308164202</v>
      </c>
      <c r="Y209" s="7">
        <f t="shared" si="15"/>
        <v>44.861966844810567</v>
      </c>
    </row>
    <row r="210" spans="1:25" x14ac:dyDescent="0.25">
      <c r="A210" s="57">
        <v>3322</v>
      </c>
      <c r="B210" t="s">
        <v>59</v>
      </c>
      <c r="C210" t="s">
        <v>287</v>
      </c>
      <c r="D210" s="8">
        <v>1107054</v>
      </c>
      <c r="E210" s="8">
        <v>80324</v>
      </c>
      <c r="F210" s="8">
        <v>74988</v>
      </c>
      <c r="G210" s="8">
        <v>78718</v>
      </c>
      <c r="H210" s="8">
        <v>79547</v>
      </c>
      <c r="I210" s="8">
        <v>80216</v>
      </c>
      <c r="J210" s="8">
        <v>82795</v>
      </c>
      <c r="K210" s="8">
        <v>81725</v>
      </c>
      <c r="L210" s="8">
        <v>81812</v>
      </c>
      <c r="M210" s="8">
        <v>82670</v>
      </c>
      <c r="N210" s="8">
        <v>80125</v>
      </c>
      <c r="O210" s="8">
        <v>73373</v>
      </c>
      <c r="P210" s="8">
        <v>67462</v>
      </c>
      <c r="Q210" s="8">
        <v>56319</v>
      </c>
      <c r="R210" s="8">
        <v>44883</v>
      </c>
      <c r="S210" s="8">
        <v>32324</v>
      </c>
      <c r="T210" s="8">
        <v>29773</v>
      </c>
      <c r="U210" s="7">
        <f t="shared" si="12"/>
        <v>21.139890195058236</v>
      </c>
      <c r="V210" s="7">
        <f t="shared" si="13"/>
        <v>69.19662455489977</v>
      </c>
      <c r="W210" s="7">
        <f t="shared" si="14"/>
        <v>9.6634852500420028</v>
      </c>
      <c r="X210" s="7">
        <f>SUM(I210:L210)/D210*100</f>
        <v>29.497025438686819</v>
      </c>
      <c r="Y210" s="7">
        <f t="shared" si="15"/>
        <v>44.515719723671225</v>
      </c>
    </row>
    <row r="211" spans="1:25" x14ac:dyDescent="0.25">
      <c r="A211" s="57">
        <v>3323</v>
      </c>
      <c r="B211" t="s">
        <v>59</v>
      </c>
      <c r="C211" t="s">
        <v>288</v>
      </c>
      <c r="D211" s="8">
        <v>827132</v>
      </c>
      <c r="E211" s="8">
        <v>57820</v>
      </c>
      <c r="F211" s="8">
        <v>56824</v>
      </c>
      <c r="G211" s="8">
        <v>57590</v>
      </c>
      <c r="H211" s="8">
        <v>59357</v>
      </c>
      <c r="I211" s="8">
        <v>59237</v>
      </c>
      <c r="J211" s="8">
        <v>58456</v>
      </c>
      <c r="K211" s="8">
        <v>58155</v>
      </c>
      <c r="L211" s="8">
        <v>58739</v>
      </c>
      <c r="M211" s="8">
        <v>55086</v>
      </c>
      <c r="N211" s="8">
        <v>57279</v>
      </c>
      <c r="O211" s="8">
        <v>56992</v>
      </c>
      <c r="P211" s="8">
        <v>55466</v>
      </c>
      <c r="Q211" s="8">
        <v>46888</v>
      </c>
      <c r="R211" s="8">
        <v>37201</v>
      </c>
      <c r="S211" s="8">
        <v>27182</v>
      </c>
      <c r="T211" s="8">
        <v>24860</v>
      </c>
      <c r="U211" s="7">
        <f t="shared" si="12"/>
        <v>20.823036709980993</v>
      </c>
      <c r="V211" s="7">
        <f t="shared" si="13"/>
        <v>68.387512513117628</v>
      </c>
      <c r="W211" s="7">
        <f t="shared" si="14"/>
        <v>10.78945077690139</v>
      </c>
      <c r="X211" s="7">
        <f>SUM(I211:L211)/D211*100</f>
        <v>28.361494900451195</v>
      </c>
      <c r="Y211" s="7">
        <f t="shared" si="15"/>
        <v>46.225526159938482</v>
      </c>
    </row>
    <row r="212" spans="1:25" x14ac:dyDescent="0.25">
      <c r="A212" s="57">
        <v>3324</v>
      </c>
      <c r="B212" t="s">
        <v>59</v>
      </c>
      <c r="C212" t="s">
        <v>289</v>
      </c>
      <c r="D212" s="8">
        <v>1087809</v>
      </c>
      <c r="E212" s="8">
        <v>79750</v>
      </c>
      <c r="F212" s="8">
        <v>73164</v>
      </c>
      <c r="G212" s="8">
        <v>78689</v>
      </c>
      <c r="H212" s="8">
        <v>77916</v>
      </c>
      <c r="I212" s="8">
        <v>78431</v>
      </c>
      <c r="J212" s="8">
        <v>79409</v>
      </c>
      <c r="K212" s="8">
        <v>84539</v>
      </c>
      <c r="L212" s="8">
        <v>88479</v>
      </c>
      <c r="M212" s="8">
        <v>82437</v>
      </c>
      <c r="N212" s="8">
        <v>77722</v>
      </c>
      <c r="O212" s="8">
        <v>69458</v>
      </c>
      <c r="P212" s="8">
        <v>65013</v>
      </c>
      <c r="Q212" s="8">
        <v>55739</v>
      </c>
      <c r="R212" s="8">
        <v>43759</v>
      </c>
      <c r="S212" s="8">
        <v>29623</v>
      </c>
      <c r="T212" s="8">
        <v>23681</v>
      </c>
      <c r="U212" s="7">
        <f t="shared" si="12"/>
        <v>21.290778068576376</v>
      </c>
      <c r="V212" s="7">
        <f t="shared" si="13"/>
        <v>69.786423903460985</v>
      </c>
      <c r="W212" s="7">
        <f t="shared" si="14"/>
        <v>8.9227980279626298</v>
      </c>
      <c r="X212" s="7">
        <f>SUM(I212:L212)/D212*100</f>
        <v>30.415082059442422</v>
      </c>
      <c r="Y212" s="7">
        <f t="shared" si="15"/>
        <v>43.294346387966428</v>
      </c>
    </row>
    <row r="213" spans="1:25" x14ac:dyDescent="0.25">
      <c r="A213" s="57">
        <v>3325</v>
      </c>
      <c r="B213" t="s">
        <v>59</v>
      </c>
      <c r="C213" t="s">
        <v>290</v>
      </c>
      <c r="D213" s="8">
        <v>855842</v>
      </c>
      <c r="E213" s="8">
        <v>66466</v>
      </c>
      <c r="F213" s="8">
        <v>65055</v>
      </c>
      <c r="G213" s="8">
        <v>63924</v>
      </c>
      <c r="H213" s="8">
        <v>60331</v>
      </c>
      <c r="I213" s="8">
        <v>61018</v>
      </c>
      <c r="J213" s="8">
        <v>63396</v>
      </c>
      <c r="K213" s="8">
        <v>67376</v>
      </c>
      <c r="L213" s="8">
        <v>69105</v>
      </c>
      <c r="M213" s="8">
        <v>63261</v>
      </c>
      <c r="N213" s="8">
        <v>57980</v>
      </c>
      <c r="O213" s="8">
        <v>53713</v>
      </c>
      <c r="P213" s="8">
        <v>49056</v>
      </c>
      <c r="Q213" s="8">
        <v>42239</v>
      </c>
      <c r="R213" s="8">
        <v>31565</v>
      </c>
      <c r="S213" s="8">
        <v>22268</v>
      </c>
      <c r="T213" s="8">
        <v>19089</v>
      </c>
      <c r="U213" s="7">
        <f t="shared" si="12"/>
        <v>22.836574975287494</v>
      </c>
      <c r="V213" s="7">
        <f t="shared" si="13"/>
        <v>68.642927082335291</v>
      </c>
      <c r="W213" s="7">
        <f t="shared" si="14"/>
        <v>8.5204979423772151</v>
      </c>
      <c r="X213" s="7">
        <f>SUM(I213:L213)/D213*100</f>
        <v>30.484014572783298</v>
      </c>
      <c r="Y213" s="7">
        <f t="shared" si="15"/>
        <v>45.681433252478833</v>
      </c>
    </row>
    <row r="214" spans="1:25" x14ac:dyDescent="0.25">
      <c r="A214" s="57">
        <v>3326</v>
      </c>
      <c r="B214" t="s">
        <v>59</v>
      </c>
      <c r="C214" t="s">
        <v>291</v>
      </c>
      <c r="D214" s="8">
        <v>1041335</v>
      </c>
      <c r="E214" s="8">
        <v>85295</v>
      </c>
      <c r="F214" s="8">
        <v>80793</v>
      </c>
      <c r="G214" s="8">
        <v>78313</v>
      </c>
      <c r="H214" s="8">
        <v>76462</v>
      </c>
      <c r="I214" s="8">
        <v>76771</v>
      </c>
      <c r="J214" s="8">
        <v>82411</v>
      </c>
      <c r="K214" s="8">
        <v>86122</v>
      </c>
      <c r="L214" s="8">
        <v>82874</v>
      </c>
      <c r="M214" s="8">
        <v>75831</v>
      </c>
      <c r="N214" s="8">
        <v>69317</v>
      </c>
      <c r="O214" s="8">
        <v>61514</v>
      </c>
      <c r="P214" s="8">
        <v>54183</v>
      </c>
      <c r="Q214" s="8">
        <v>46495</v>
      </c>
      <c r="R214" s="8">
        <v>35795</v>
      </c>
      <c r="S214" s="8">
        <v>24258</v>
      </c>
      <c r="T214" s="8">
        <v>24901</v>
      </c>
      <c r="U214" s="7">
        <f t="shared" si="12"/>
        <v>23.469968838078046</v>
      </c>
      <c r="V214" s="7">
        <f t="shared" si="13"/>
        <v>68.371849596911659</v>
      </c>
      <c r="W214" s="7">
        <f t="shared" si="14"/>
        <v>8.1581815650102989</v>
      </c>
      <c r="X214" s="7">
        <f>SUM(I214:L214)/D214*100</f>
        <v>31.515122414976926</v>
      </c>
      <c r="Y214" s="7">
        <f t="shared" si="15"/>
        <v>46.259024129891287</v>
      </c>
    </row>
    <row r="215" spans="1:25" x14ac:dyDescent="0.25">
      <c r="A215" s="57">
        <v>3327</v>
      </c>
      <c r="B215" t="s">
        <v>59</v>
      </c>
      <c r="C215" t="s">
        <v>292</v>
      </c>
      <c r="D215" s="8">
        <v>1576420</v>
      </c>
      <c r="E215" s="8">
        <v>129335</v>
      </c>
      <c r="F215" s="8">
        <v>111887</v>
      </c>
      <c r="G215" s="8">
        <v>117303</v>
      </c>
      <c r="H215" s="8">
        <v>116802</v>
      </c>
      <c r="I215" s="8">
        <v>117110</v>
      </c>
      <c r="J215" s="8">
        <v>127255</v>
      </c>
      <c r="K215" s="8">
        <v>129742</v>
      </c>
      <c r="L215" s="8">
        <v>123545</v>
      </c>
      <c r="M215" s="8">
        <v>116314</v>
      </c>
      <c r="N215" s="8">
        <v>107971</v>
      </c>
      <c r="O215" s="8">
        <v>94886</v>
      </c>
      <c r="P215" s="8">
        <v>82795</v>
      </c>
      <c r="Q215" s="8">
        <v>70279</v>
      </c>
      <c r="R215" s="8">
        <v>55404</v>
      </c>
      <c r="S215" s="8">
        <v>39775</v>
      </c>
      <c r="T215" s="8">
        <v>36017</v>
      </c>
      <c r="U215" s="7">
        <f t="shared" si="12"/>
        <v>22.742987274964793</v>
      </c>
      <c r="V215" s="7">
        <f t="shared" si="13"/>
        <v>68.934611334542822</v>
      </c>
      <c r="W215" s="7">
        <f t="shared" si="14"/>
        <v>8.3224013904923808</v>
      </c>
      <c r="X215" s="7">
        <f>SUM(I215:L215)/D215*100</f>
        <v>31.568490630669494</v>
      </c>
      <c r="Y215" s="7">
        <f t="shared" si="15"/>
        <v>45.065008801885341</v>
      </c>
    </row>
    <row r="216" spans="1:25" x14ac:dyDescent="0.25">
      <c r="A216" s="57">
        <v>3328</v>
      </c>
      <c r="B216" t="s">
        <v>59</v>
      </c>
      <c r="C216" t="s">
        <v>293</v>
      </c>
      <c r="D216" s="8">
        <v>1713090</v>
      </c>
      <c r="E216" s="8">
        <v>136090</v>
      </c>
      <c r="F216" s="8">
        <v>136004</v>
      </c>
      <c r="G216" s="8">
        <v>130004</v>
      </c>
      <c r="H216" s="8">
        <v>130282</v>
      </c>
      <c r="I216" s="8">
        <v>123508</v>
      </c>
      <c r="J216" s="8">
        <v>133138</v>
      </c>
      <c r="K216" s="8">
        <v>133425</v>
      </c>
      <c r="L216" s="8">
        <v>133298</v>
      </c>
      <c r="M216" s="8">
        <v>131193</v>
      </c>
      <c r="N216" s="8">
        <v>125007</v>
      </c>
      <c r="O216" s="8">
        <v>109936</v>
      </c>
      <c r="P216" s="8">
        <v>90405</v>
      </c>
      <c r="Q216" s="8">
        <v>71683</v>
      </c>
      <c r="R216" s="8">
        <v>56538</v>
      </c>
      <c r="S216" s="8">
        <v>39570</v>
      </c>
      <c r="T216" s="8">
        <v>33009</v>
      </c>
      <c r="U216" s="7">
        <f t="shared" si="12"/>
        <v>23.472088448359397</v>
      </c>
      <c r="V216" s="7">
        <f t="shared" si="13"/>
        <v>68.990829436865539</v>
      </c>
      <c r="W216" s="7">
        <f t="shared" si="14"/>
        <v>7.5370821147750551</v>
      </c>
      <c r="X216" s="7">
        <f>SUM(I216:L216)/D216*100</f>
        <v>30.5511677728549</v>
      </c>
      <c r="Y216" s="7">
        <f t="shared" si="15"/>
        <v>44.946800634584875</v>
      </c>
    </row>
    <row r="217" spans="1:25" x14ac:dyDescent="0.25">
      <c r="A217" s="57">
        <v>3329</v>
      </c>
      <c r="B217" t="s">
        <v>59</v>
      </c>
      <c r="C217" t="s">
        <v>294</v>
      </c>
      <c r="D217" s="8">
        <v>2108502</v>
      </c>
      <c r="E217" s="8">
        <v>164773</v>
      </c>
      <c r="F217" s="8">
        <v>158108</v>
      </c>
      <c r="G217" s="8">
        <v>156852</v>
      </c>
      <c r="H217" s="8">
        <v>152058</v>
      </c>
      <c r="I217" s="8">
        <v>154666</v>
      </c>
      <c r="J217" s="8">
        <v>165582</v>
      </c>
      <c r="K217" s="8">
        <v>173422</v>
      </c>
      <c r="L217" s="8">
        <v>172080</v>
      </c>
      <c r="M217" s="8">
        <v>159145</v>
      </c>
      <c r="N217" s="8">
        <v>148986</v>
      </c>
      <c r="O217" s="8">
        <v>133660</v>
      </c>
      <c r="P217" s="8">
        <v>111377</v>
      </c>
      <c r="Q217" s="8">
        <v>90042</v>
      </c>
      <c r="R217" s="8">
        <v>69989</v>
      </c>
      <c r="S217" s="8">
        <v>50782</v>
      </c>
      <c r="T217" s="8">
        <v>46980</v>
      </c>
      <c r="U217" s="7">
        <f t="shared" si="12"/>
        <v>22.752314202215601</v>
      </c>
      <c r="V217" s="7">
        <f t="shared" si="13"/>
        <v>69.291753102439557</v>
      </c>
      <c r="W217" s="7">
        <f t="shared" si="14"/>
        <v>7.9559326953448473</v>
      </c>
      <c r="X217" s="7">
        <f>SUM(I217:L217)/D217*100</f>
        <v>31.574549134883441</v>
      </c>
      <c r="Y217" s="7">
        <f t="shared" si="15"/>
        <v>44.317318472462354</v>
      </c>
    </row>
    <row r="218" spans="1:25" x14ac:dyDescent="0.25">
      <c r="A218" s="57">
        <v>3371</v>
      </c>
      <c r="B218" t="s">
        <v>59</v>
      </c>
      <c r="C218" t="s">
        <v>295</v>
      </c>
      <c r="D218" s="8">
        <v>122903</v>
      </c>
      <c r="E218" s="8">
        <v>7639</v>
      </c>
      <c r="F218" s="8">
        <v>7062</v>
      </c>
      <c r="G218" s="8">
        <v>7340</v>
      </c>
      <c r="H218" s="8">
        <v>8746</v>
      </c>
      <c r="I218" s="8">
        <v>9729</v>
      </c>
      <c r="J218" s="8">
        <v>10174</v>
      </c>
      <c r="K218" s="8">
        <v>8902</v>
      </c>
      <c r="L218" s="8">
        <v>7713</v>
      </c>
      <c r="M218" s="8">
        <v>8001</v>
      </c>
      <c r="N218" s="8">
        <v>8552</v>
      </c>
      <c r="O218" s="8">
        <v>8541</v>
      </c>
      <c r="P218" s="8">
        <v>8171</v>
      </c>
      <c r="Q218" s="8">
        <v>7552</v>
      </c>
      <c r="R218" s="8">
        <v>6002</v>
      </c>
      <c r="S218" s="8">
        <v>4462</v>
      </c>
      <c r="T218" s="8">
        <v>4317</v>
      </c>
      <c r="U218" s="7">
        <f t="shared" si="12"/>
        <v>17.933654996216529</v>
      </c>
      <c r="V218" s="7">
        <f t="shared" si="13"/>
        <v>70.039787474675151</v>
      </c>
      <c r="W218" s="7">
        <f t="shared" si="14"/>
        <v>12.026557529108322</v>
      </c>
      <c r="X218" s="7">
        <f>SUM(I218:L218)/D218*100</f>
        <v>29.712862989512058</v>
      </c>
      <c r="Y218" s="7">
        <f t="shared" si="15"/>
        <v>42.775990055877607</v>
      </c>
    </row>
    <row r="219" spans="1:25" x14ac:dyDescent="0.25">
      <c r="A219" s="57">
        <v>3372</v>
      </c>
      <c r="B219" t="s">
        <v>59</v>
      </c>
      <c r="C219" t="s">
        <v>296</v>
      </c>
      <c r="D219" s="8">
        <v>529966</v>
      </c>
      <c r="E219" s="8">
        <v>33432</v>
      </c>
      <c r="F219" s="8">
        <v>33674</v>
      </c>
      <c r="G219" s="8">
        <v>34755</v>
      </c>
      <c r="H219" s="8">
        <v>38043</v>
      </c>
      <c r="I219" s="8">
        <v>40776</v>
      </c>
      <c r="J219" s="8">
        <v>39607</v>
      </c>
      <c r="K219" s="8">
        <v>37774</v>
      </c>
      <c r="L219" s="8">
        <v>36614</v>
      </c>
      <c r="M219" s="8">
        <v>38080</v>
      </c>
      <c r="N219" s="8">
        <v>39150</v>
      </c>
      <c r="O219" s="8">
        <v>36598</v>
      </c>
      <c r="P219" s="8">
        <v>33898</v>
      </c>
      <c r="Q219" s="8">
        <v>29276</v>
      </c>
      <c r="R219" s="8">
        <v>23857</v>
      </c>
      <c r="S219" s="8">
        <v>18040</v>
      </c>
      <c r="T219" s="8">
        <v>16392</v>
      </c>
      <c r="U219" s="7">
        <f t="shared" si="12"/>
        <v>19.220289603483998</v>
      </c>
      <c r="V219" s="7">
        <f t="shared" si="13"/>
        <v>69.781080295717075</v>
      </c>
      <c r="W219" s="7">
        <f t="shared" si="14"/>
        <v>10.998630100798918</v>
      </c>
      <c r="X219" s="7">
        <f>SUM(I219:L219)/D219*100</f>
        <v>29.203948932573031</v>
      </c>
      <c r="Y219" s="7">
        <f t="shared" si="15"/>
        <v>43.305319402081032</v>
      </c>
    </row>
    <row r="220" spans="1:25" x14ac:dyDescent="0.25">
      <c r="A220" s="57">
        <v>3373</v>
      </c>
      <c r="B220" t="s">
        <v>59</v>
      </c>
      <c r="C220" t="s">
        <v>297</v>
      </c>
      <c r="D220" s="8">
        <v>205821</v>
      </c>
      <c r="E220" s="8">
        <v>15263</v>
      </c>
      <c r="F220" s="8">
        <v>13770</v>
      </c>
      <c r="G220" s="8">
        <v>13681</v>
      </c>
      <c r="H220" s="8">
        <v>14900</v>
      </c>
      <c r="I220" s="8">
        <v>15638</v>
      </c>
      <c r="J220" s="8">
        <v>15726</v>
      </c>
      <c r="K220" s="8">
        <v>14977</v>
      </c>
      <c r="L220" s="8">
        <v>14708</v>
      </c>
      <c r="M220" s="8">
        <v>15503</v>
      </c>
      <c r="N220" s="8">
        <v>15290</v>
      </c>
      <c r="O220" s="8">
        <v>13614</v>
      </c>
      <c r="P220" s="8">
        <v>12285</v>
      </c>
      <c r="Q220" s="8">
        <v>10194</v>
      </c>
      <c r="R220" s="8">
        <v>8291</v>
      </c>
      <c r="S220" s="8">
        <v>6190</v>
      </c>
      <c r="T220" s="8">
        <v>5791</v>
      </c>
      <c r="U220" s="7">
        <f t="shared" si="12"/>
        <v>20.752984389348025</v>
      </c>
      <c r="V220" s="7">
        <f t="shared" si="13"/>
        <v>69.397680508791609</v>
      </c>
      <c r="W220" s="7">
        <f t="shared" si="14"/>
        <v>9.8493351018603548</v>
      </c>
      <c r="X220" s="7">
        <f>SUM(I220:L220)/D220*100</f>
        <v>29.661210469291277</v>
      </c>
      <c r="Y220" s="7">
        <f t="shared" si="15"/>
        <v>44.097035040431265</v>
      </c>
    </row>
    <row r="221" spans="1:25" x14ac:dyDescent="0.25">
      <c r="A221" s="57">
        <v>3374</v>
      </c>
      <c r="B221" t="s">
        <v>59</v>
      </c>
      <c r="C221" t="s">
        <v>298</v>
      </c>
      <c r="D221" s="8">
        <v>1735503</v>
      </c>
      <c r="E221" s="8">
        <v>113239</v>
      </c>
      <c r="F221" s="8">
        <v>116257</v>
      </c>
      <c r="G221" s="8">
        <v>122449</v>
      </c>
      <c r="H221" s="8">
        <v>126456</v>
      </c>
      <c r="I221" s="8">
        <v>130331</v>
      </c>
      <c r="J221" s="8">
        <v>127387</v>
      </c>
      <c r="K221" s="8">
        <v>128969</v>
      </c>
      <c r="L221" s="8">
        <v>131625</v>
      </c>
      <c r="M221" s="8">
        <v>133748</v>
      </c>
      <c r="N221" s="8">
        <v>133742</v>
      </c>
      <c r="O221" s="8">
        <v>120765</v>
      </c>
      <c r="P221" s="8">
        <v>106005</v>
      </c>
      <c r="Q221" s="8">
        <v>89126</v>
      </c>
      <c r="R221" s="8">
        <v>69347</v>
      </c>
      <c r="S221" s="8">
        <v>47952</v>
      </c>
      <c r="T221" s="8">
        <v>38105</v>
      </c>
      <c r="U221" s="7">
        <f t="shared" si="12"/>
        <v>20.279135213249415</v>
      </c>
      <c r="V221" s="7">
        <f t="shared" si="13"/>
        <v>70.766457908744613</v>
      </c>
      <c r="W221" s="7">
        <f t="shared" si="14"/>
        <v>8.9544068780059725</v>
      </c>
      <c r="X221" s="7">
        <f>SUM(I221:L221)/D221*100</f>
        <v>29.865232154597255</v>
      </c>
      <c r="Y221" s="7">
        <f t="shared" si="15"/>
        <v>41.309884591020349</v>
      </c>
    </row>
    <row r="222" spans="1:25" x14ac:dyDescent="0.25">
      <c r="A222" s="57">
        <v>3375</v>
      </c>
      <c r="B222" t="s">
        <v>59</v>
      </c>
      <c r="C222" t="s">
        <v>299</v>
      </c>
      <c r="D222" s="8">
        <v>327929</v>
      </c>
      <c r="E222" s="8">
        <v>26272</v>
      </c>
      <c r="F222" s="8">
        <v>24274</v>
      </c>
      <c r="G222" s="8">
        <v>24228</v>
      </c>
      <c r="H222" s="8">
        <v>24066</v>
      </c>
      <c r="I222" s="8">
        <v>25050</v>
      </c>
      <c r="J222" s="8">
        <v>25332</v>
      </c>
      <c r="K222" s="8">
        <v>25562</v>
      </c>
      <c r="L222" s="8">
        <v>25255</v>
      </c>
      <c r="M222" s="8">
        <v>24524</v>
      </c>
      <c r="N222" s="8">
        <v>23633</v>
      </c>
      <c r="O222" s="8">
        <v>20682</v>
      </c>
      <c r="P222" s="8">
        <v>18310</v>
      </c>
      <c r="Q222" s="8">
        <v>15317</v>
      </c>
      <c r="R222" s="8">
        <v>11474</v>
      </c>
      <c r="S222" s="8">
        <v>8038</v>
      </c>
      <c r="T222" s="8">
        <v>5912</v>
      </c>
      <c r="U222" s="7">
        <f t="shared" si="12"/>
        <v>22.80188699383098</v>
      </c>
      <c r="V222" s="7">
        <f t="shared" si="13"/>
        <v>69.445215275257752</v>
      </c>
      <c r="W222" s="7">
        <f t="shared" si="14"/>
        <v>7.7528977309112639</v>
      </c>
      <c r="X222" s="7">
        <f>SUM(I222:L222)/D222*100</f>
        <v>30.860033726812819</v>
      </c>
      <c r="Y222" s="7">
        <f t="shared" si="15"/>
        <v>43.998401622967449</v>
      </c>
    </row>
    <row r="223" spans="1:25" x14ac:dyDescent="0.25">
      <c r="A223" s="57">
        <v>3376</v>
      </c>
      <c r="B223" t="s">
        <v>59</v>
      </c>
      <c r="C223" t="s">
        <v>300</v>
      </c>
      <c r="D223" s="8">
        <v>291687</v>
      </c>
      <c r="E223" s="8">
        <v>22774</v>
      </c>
      <c r="F223" s="8">
        <v>22175</v>
      </c>
      <c r="G223" s="8">
        <v>20786</v>
      </c>
      <c r="H223" s="8">
        <v>21530</v>
      </c>
      <c r="I223" s="8">
        <v>21761</v>
      </c>
      <c r="J223" s="8">
        <v>21756</v>
      </c>
      <c r="K223" s="8">
        <v>21952</v>
      </c>
      <c r="L223" s="8">
        <v>21593</v>
      </c>
      <c r="M223" s="8">
        <v>22451</v>
      </c>
      <c r="N223" s="8">
        <v>23111</v>
      </c>
      <c r="O223" s="8">
        <v>19861</v>
      </c>
      <c r="P223" s="8">
        <v>15775</v>
      </c>
      <c r="Q223" s="8">
        <v>12470</v>
      </c>
      <c r="R223" s="8">
        <v>10158</v>
      </c>
      <c r="S223" s="8">
        <v>7478</v>
      </c>
      <c r="T223" s="8">
        <v>6056</v>
      </c>
      <c r="U223" s="7">
        <f t="shared" si="12"/>
        <v>22.536143194588721</v>
      </c>
      <c r="V223" s="7">
        <f t="shared" si="13"/>
        <v>69.341451624515315</v>
      </c>
      <c r="W223" s="7">
        <f t="shared" si="14"/>
        <v>8.1224051808959601</v>
      </c>
      <c r="X223" s="7">
        <f>SUM(I223:L223)/D223*100</f>
        <v>29.847747757013508</v>
      </c>
      <c r="Y223" s="7">
        <f t="shared" si="15"/>
        <v>44.213883120735687</v>
      </c>
    </row>
    <row r="224" spans="1:25" x14ac:dyDescent="0.25">
      <c r="A224" s="57">
        <v>3401</v>
      </c>
      <c r="B224" t="s">
        <v>301</v>
      </c>
      <c r="C224" t="s">
        <v>302</v>
      </c>
      <c r="D224" s="8">
        <v>449501</v>
      </c>
      <c r="E224" s="8">
        <v>28569</v>
      </c>
      <c r="F224" s="8">
        <v>29503</v>
      </c>
      <c r="G224" s="8">
        <v>29252</v>
      </c>
      <c r="H224" s="8">
        <v>30349</v>
      </c>
      <c r="I224" s="8">
        <v>31241</v>
      </c>
      <c r="J224" s="8">
        <v>31400</v>
      </c>
      <c r="K224" s="8">
        <v>31101</v>
      </c>
      <c r="L224" s="8">
        <v>30017</v>
      </c>
      <c r="M224" s="8">
        <v>29881</v>
      </c>
      <c r="N224" s="8">
        <v>30426</v>
      </c>
      <c r="O224" s="8">
        <v>29199</v>
      </c>
      <c r="P224" s="8">
        <v>29089</v>
      </c>
      <c r="Q224" s="8">
        <v>26774</v>
      </c>
      <c r="R224" s="8">
        <v>22314</v>
      </c>
      <c r="S224" s="8">
        <v>16932</v>
      </c>
      <c r="T224" s="8">
        <v>23454</v>
      </c>
      <c r="U224" s="7">
        <f t="shared" si="12"/>
        <v>19.426875579809611</v>
      </c>
      <c r="V224" s="7">
        <f t="shared" si="13"/>
        <v>66.624323416410647</v>
      </c>
      <c r="W224" s="7">
        <f t="shared" si="14"/>
        <v>13.948801003779746</v>
      </c>
      <c r="X224" s="7">
        <f>SUM(I224:L224)/D224*100</f>
        <v>27.532530517173488</v>
      </c>
      <c r="Y224" s="7">
        <f t="shared" si="15"/>
        <v>50.095332863625586</v>
      </c>
    </row>
    <row r="225" spans="1:25" x14ac:dyDescent="0.25">
      <c r="A225" s="57">
        <v>3402</v>
      </c>
      <c r="B225" t="s">
        <v>301</v>
      </c>
      <c r="C225" t="s">
        <v>303</v>
      </c>
      <c r="D225" s="8">
        <v>1033465</v>
      </c>
      <c r="E225" s="8">
        <v>65463</v>
      </c>
      <c r="F225" s="8">
        <v>69425</v>
      </c>
      <c r="G225" s="8">
        <v>70337</v>
      </c>
      <c r="H225" s="8">
        <v>72205</v>
      </c>
      <c r="I225" s="8">
        <v>72644</v>
      </c>
      <c r="J225" s="8">
        <v>71080</v>
      </c>
      <c r="K225" s="8">
        <v>72635</v>
      </c>
      <c r="L225" s="8">
        <v>76633</v>
      </c>
      <c r="M225" s="8">
        <v>76021</v>
      </c>
      <c r="N225" s="8">
        <v>74951</v>
      </c>
      <c r="O225" s="8">
        <v>69228</v>
      </c>
      <c r="P225" s="8">
        <v>65545</v>
      </c>
      <c r="Q225" s="8">
        <v>58669</v>
      </c>
      <c r="R225" s="8">
        <v>47408</v>
      </c>
      <c r="S225" s="8">
        <v>32417</v>
      </c>
      <c r="T225" s="8">
        <v>38804</v>
      </c>
      <c r="U225" s="7">
        <f t="shared" si="12"/>
        <v>19.857953583333739</v>
      </c>
      <c r="V225" s="7">
        <f t="shared" si="13"/>
        <v>68.663283226814656</v>
      </c>
      <c r="W225" s="7">
        <f t="shared" si="14"/>
        <v>11.478763189851616</v>
      </c>
      <c r="X225" s="7">
        <f>SUM(I225:L225)/D225*100</f>
        <v>28.350452119810544</v>
      </c>
      <c r="Y225" s="7">
        <f t="shared" si="15"/>
        <v>45.63824405202287</v>
      </c>
    </row>
    <row r="226" spans="1:25" x14ac:dyDescent="0.25">
      <c r="A226" s="57">
        <v>3403</v>
      </c>
      <c r="B226" t="s">
        <v>301</v>
      </c>
      <c r="C226" t="s">
        <v>304</v>
      </c>
      <c r="D226" s="8">
        <v>754056</v>
      </c>
      <c r="E226" s="8">
        <v>44843</v>
      </c>
      <c r="F226" s="8">
        <v>46452</v>
      </c>
      <c r="G226" s="8">
        <v>47126</v>
      </c>
      <c r="H226" s="8">
        <v>49117</v>
      </c>
      <c r="I226" s="8">
        <v>49835</v>
      </c>
      <c r="J226" s="8">
        <v>48994</v>
      </c>
      <c r="K226" s="8">
        <v>51236</v>
      </c>
      <c r="L226" s="8">
        <v>49818</v>
      </c>
      <c r="M226" s="8">
        <v>49560</v>
      </c>
      <c r="N226" s="8">
        <v>49986</v>
      </c>
      <c r="O226" s="8">
        <v>52009</v>
      </c>
      <c r="P226" s="8">
        <v>51312</v>
      </c>
      <c r="Q226" s="8">
        <v>45126</v>
      </c>
      <c r="R226" s="8">
        <v>39692</v>
      </c>
      <c r="S226" s="8">
        <v>32133</v>
      </c>
      <c r="T226" s="8">
        <v>46817</v>
      </c>
      <c r="U226" s="7">
        <f t="shared" si="12"/>
        <v>18.356859437495359</v>
      </c>
      <c r="V226" s="7">
        <f t="shared" si="13"/>
        <v>65.909295861315343</v>
      </c>
      <c r="W226" s="7">
        <f t="shared" si="14"/>
        <v>15.7338447011893</v>
      </c>
      <c r="X226" s="7">
        <f>SUM(I226:L226)/D226*100</f>
        <v>26.507712955005996</v>
      </c>
      <c r="Y226" s="7">
        <f t="shared" si="15"/>
        <v>51.723666128094358</v>
      </c>
    </row>
    <row r="227" spans="1:25" x14ac:dyDescent="0.25">
      <c r="A227" s="57">
        <v>3404</v>
      </c>
      <c r="B227" t="s">
        <v>301</v>
      </c>
      <c r="C227" t="s">
        <v>305</v>
      </c>
      <c r="D227" s="8">
        <v>1190034</v>
      </c>
      <c r="E227" s="8">
        <v>76929</v>
      </c>
      <c r="F227" s="8">
        <v>77535</v>
      </c>
      <c r="G227" s="8">
        <v>80132</v>
      </c>
      <c r="H227" s="8">
        <v>83298</v>
      </c>
      <c r="I227" s="8">
        <v>88130</v>
      </c>
      <c r="J227" s="8">
        <v>90766</v>
      </c>
      <c r="K227" s="8">
        <v>85231</v>
      </c>
      <c r="L227" s="8">
        <v>85623</v>
      </c>
      <c r="M227" s="8">
        <v>85011</v>
      </c>
      <c r="N227" s="8">
        <v>86886</v>
      </c>
      <c r="O227" s="8">
        <v>81804</v>
      </c>
      <c r="P227" s="8">
        <v>74975</v>
      </c>
      <c r="Q227" s="8">
        <v>63172</v>
      </c>
      <c r="R227" s="8">
        <v>50597</v>
      </c>
      <c r="S227" s="8">
        <v>36885</v>
      </c>
      <c r="T227" s="8">
        <v>43060</v>
      </c>
      <c r="U227" s="7">
        <f t="shared" si="12"/>
        <v>19.713386340222211</v>
      </c>
      <c r="V227" s="7">
        <f t="shared" si="13"/>
        <v>69.317011110606913</v>
      </c>
      <c r="W227" s="7">
        <f t="shared" si="14"/>
        <v>10.969602549170864</v>
      </c>
      <c r="X227" s="7">
        <f>SUM(I227:L227)/D227*100</f>
        <v>29.389916590618419</v>
      </c>
      <c r="Y227" s="7">
        <f t="shared" si="15"/>
        <v>44.264731554038327</v>
      </c>
    </row>
    <row r="228" spans="1:25" x14ac:dyDescent="0.25">
      <c r="A228" s="57">
        <v>3471</v>
      </c>
      <c r="B228" t="s">
        <v>301</v>
      </c>
      <c r="C228" t="s">
        <v>306</v>
      </c>
      <c r="D228" s="8">
        <v>375660</v>
      </c>
      <c r="E228" s="8">
        <v>22989</v>
      </c>
      <c r="F228" s="8">
        <v>21906</v>
      </c>
      <c r="G228" s="8">
        <v>23407</v>
      </c>
      <c r="H228" s="8">
        <v>25080</v>
      </c>
      <c r="I228" s="8">
        <v>28698</v>
      </c>
      <c r="J228" s="8">
        <v>30626</v>
      </c>
      <c r="K228" s="8">
        <v>27490</v>
      </c>
      <c r="L228" s="8">
        <v>26621</v>
      </c>
      <c r="M228" s="8">
        <v>26122</v>
      </c>
      <c r="N228" s="8">
        <v>26231</v>
      </c>
      <c r="O228" s="8">
        <v>25548</v>
      </c>
      <c r="P228" s="8">
        <v>23730</v>
      </c>
      <c r="Q228" s="8">
        <v>22118</v>
      </c>
      <c r="R228" s="8">
        <v>17854</v>
      </c>
      <c r="S228" s="8">
        <v>13631</v>
      </c>
      <c r="T228" s="8">
        <v>13609</v>
      </c>
      <c r="U228" s="7">
        <f t="shared" si="12"/>
        <v>18.181866581483256</v>
      </c>
      <c r="V228" s="7">
        <f t="shared" si="13"/>
        <v>69.814193685779685</v>
      </c>
      <c r="W228" s="7">
        <f t="shared" si="14"/>
        <v>12.003939732737051</v>
      </c>
      <c r="X228" s="7">
        <f>SUM(I228:L228)/D228*100</f>
        <v>30.196188042378747</v>
      </c>
      <c r="Y228" s="7">
        <f t="shared" si="15"/>
        <v>43.23734862581216</v>
      </c>
    </row>
    <row r="229" spans="1:25" x14ac:dyDescent="0.25">
      <c r="A229" s="57">
        <v>3501</v>
      </c>
      <c r="B229" t="s">
        <v>60</v>
      </c>
      <c r="C229" t="s">
        <v>307</v>
      </c>
      <c r="D229" s="8">
        <v>589357</v>
      </c>
      <c r="E229" s="8">
        <v>33809</v>
      </c>
      <c r="F229" s="8">
        <v>35434</v>
      </c>
      <c r="G229" s="8">
        <v>34377</v>
      </c>
      <c r="H229" s="8">
        <v>35918</v>
      </c>
      <c r="I229" s="8">
        <v>36943</v>
      </c>
      <c r="J229" s="8">
        <v>40308</v>
      </c>
      <c r="K229" s="8">
        <v>41615</v>
      </c>
      <c r="L229" s="8">
        <v>42130</v>
      </c>
      <c r="M229" s="8">
        <v>41246</v>
      </c>
      <c r="N229" s="8">
        <v>37050</v>
      </c>
      <c r="O229" s="8">
        <v>41006</v>
      </c>
      <c r="P229" s="8">
        <v>42617</v>
      </c>
      <c r="Q229" s="8">
        <v>38797</v>
      </c>
      <c r="R229" s="8">
        <v>32550</v>
      </c>
      <c r="S229" s="8">
        <v>25090</v>
      </c>
      <c r="T229" s="8">
        <v>30467</v>
      </c>
      <c r="U229" s="7">
        <f t="shared" si="12"/>
        <v>17.581873126135772</v>
      </c>
      <c r="V229" s="7">
        <f t="shared" si="13"/>
        <v>67.46844442332916</v>
      </c>
      <c r="W229" s="7">
        <f t="shared" si="14"/>
        <v>14.949682450535073</v>
      </c>
      <c r="X229" s="7">
        <f>SUM(I229:L229)/D229*100</f>
        <v>27.317228776446196</v>
      </c>
      <c r="Y229" s="7">
        <f t="shared" si="15"/>
        <v>48.217438322058193</v>
      </c>
    </row>
    <row r="230" spans="1:25" x14ac:dyDescent="0.25">
      <c r="A230" s="57">
        <v>3502</v>
      </c>
      <c r="B230" t="s">
        <v>60</v>
      </c>
      <c r="C230" t="s">
        <v>308</v>
      </c>
      <c r="D230" s="8">
        <v>968994</v>
      </c>
      <c r="E230" s="8">
        <v>60648</v>
      </c>
      <c r="F230" s="8">
        <v>59474</v>
      </c>
      <c r="G230" s="8">
        <v>58905</v>
      </c>
      <c r="H230" s="8">
        <v>59107</v>
      </c>
      <c r="I230" s="8">
        <v>60216</v>
      </c>
      <c r="J230" s="8">
        <v>64014</v>
      </c>
      <c r="K230" s="8">
        <v>65937</v>
      </c>
      <c r="L230" s="8">
        <v>70248</v>
      </c>
      <c r="M230" s="8">
        <v>72487</v>
      </c>
      <c r="N230" s="8">
        <v>68201</v>
      </c>
      <c r="O230" s="8">
        <v>68671</v>
      </c>
      <c r="P230" s="8">
        <v>65540</v>
      </c>
      <c r="Q230" s="8">
        <v>58833</v>
      </c>
      <c r="R230" s="8">
        <v>50711</v>
      </c>
      <c r="S230" s="8">
        <v>39021</v>
      </c>
      <c r="T230" s="8">
        <v>46981</v>
      </c>
      <c r="U230" s="7">
        <f t="shared" si="12"/>
        <v>18.475552996200186</v>
      </c>
      <c r="V230" s="7">
        <f t="shared" si="13"/>
        <v>67.415690912430819</v>
      </c>
      <c r="W230" s="7">
        <f t="shared" si="14"/>
        <v>14.108756091368987</v>
      </c>
      <c r="X230" s="7">
        <f>SUM(I230:L230)/D230*100</f>
        <v>26.874779410398826</v>
      </c>
      <c r="Y230" s="7">
        <f t="shared" si="15"/>
        <v>48.333420078560557</v>
      </c>
    </row>
    <row r="231" spans="1:25" x14ac:dyDescent="0.25">
      <c r="A231" s="57">
        <v>3503</v>
      </c>
      <c r="B231" t="s">
        <v>60</v>
      </c>
      <c r="C231" t="s">
        <v>309</v>
      </c>
      <c r="D231" s="8">
        <v>750476</v>
      </c>
      <c r="E231" s="8">
        <v>47134</v>
      </c>
      <c r="F231" s="8">
        <v>47311</v>
      </c>
      <c r="G231" s="8">
        <v>47643</v>
      </c>
      <c r="H231" s="8">
        <v>46918</v>
      </c>
      <c r="I231" s="8">
        <v>47227</v>
      </c>
      <c r="J231" s="8">
        <v>50045</v>
      </c>
      <c r="K231" s="8">
        <v>53863</v>
      </c>
      <c r="L231" s="8">
        <v>53947</v>
      </c>
      <c r="M231" s="8">
        <v>55202</v>
      </c>
      <c r="N231" s="8">
        <v>52265</v>
      </c>
      <c r="O231" s="8">
        <v>52290</v>
      </c>
      <c r="P231" s="8">
        <v>52449</v>
      </c>
      <c r="Q231" s="8">
        <v>46391</v>
      </c>
      <c r="R231" s="8">
        <v>37653</v>
      </c>
      <c r="S231" s="8">
        <v>28447</v>
      </c>
      <c r="T231" s="8">
        <v>31691</v>
      </c>
      <c r="U231" s="7">
        <f t="shared" si="12"/>
        <v>18.933050490621952</v>
      </c>
      <c r="V231" s="7">
        <f t="shared" si="13"/>
        <v>68.036419552390754</v>
      </c>
      <c r="W231" s="7">
        <f t="shared" si="14"/>
        <v>13.0305299569873</v>
      </c>
      <c r="X231" s="7">
        <f>SUM(I231:L231)/D231*100</f>
        <v>27.326923179422124</v>
      </c>
      <c r="Y231" s="7">
        <f t="shared" si="15"/>
        <v>46.980103682551992</v>
      </c>
    </row>
    <row r="232" spans="1:25" x14ac:dyDescent="0.25">
      <c r="A232" s="57">
        <v>3504</v>
      </c>
      <c r="B232" t="s">
        <v>60</v>
      </c>
      <c r="C232" t="s">
        <v>310</v>
      </c>
      <c r="D232" s="8">
        <v>1125005</v>
      </c>
      <c r="E232" s="8">
        <v>73636</v>
      </c>
      <c r="F232" s="8">
        <v>70652</v>
      </c>
      <c r="G232" s="8">
        <v>72247</v>
      </c>
      <c r="H232" s="8">
        <v>75406</v>
      </c>
      <c r="I232" s="8">
        <v>76708</v>
      </c>
      <c r="J232" s="8">
        <v>78122</v>
      </c>
      <c r="K232" s="8">
        <v>75936</v>
      </c>
      <c r="L232" s="8">
        <v>77664</v>
      </c>
      <c r="M232" s="8">
        <v>84090</v>
      </c>
      <c r="N232" s="8">
        <v>85173</v>
      </c>
      <c r="O232" s="8">
        <v>83805</v>
      </c>
      <c r="P232" s="8">
        <v>76393</v>
      </c>
      <c r="Q232" s="8">
        <v>65317</v>
      </c>
      <c r="R232" s="8">
        <v>50030</v>
      </c>
      <c r="S232" s="8">
        <v>39019</v>
      </c>
      <c r="T232" s="8">
        <v>40807</v>
      </c>
      <c r="U232" s="7">
        <f t="shared" si="12"/>
        <v>19.247470011244395</v>
      </c>
      <c r="V232" s="7">
        <f t="shared" si="13"/>
        <v>69.209825734107838</v>
      </c>
      <c r="W232" s="7">
        <f t="shared" si="14"/>
        <v>11.542704254647756</v>
      </c>
      <c r="X232" s="7">
        <f>SUM(I232:L232)/D232*100</f>
        <v>27.415878151652663</v>
      </c>
      <c r="Y232" s="7">
        <f t="shared" si="15"/>
        <v>44.488154592647959</v>
      </c>
    </row>
    <row r="233" spans="1:25" x14ac:dyDescent="0.25">
      <c r="A233" s="57">
        <v>3505</v>
      </c>
      <c r="B233" t="s">
        <v>60</v>
      </c>
      <c r="C233" t="s">
        <v>311</v>
      </c>
      <c r="D233" s="8">
        <v>1282970</v>
      </c>
      <c r="E233" s="8">
        <v>86001</v>
      </c>
      <c r="F233" s="8">
        <v>79802</v>
      </c>
      <c r="G233" s="8">
        <v>88598</v>
      </c>
      <c r="H233" s="8">
        <v>88939</v>
      </c>
      <c r="I233" s="8">
        <v>89996</v>
      </c>
      <c r="J233" s="8">
        <v>88344</v>
      </c>
      <c r="K233" s="8">
        <v>89350</v>
      </c>
      <c r="L233" s="8">
        <v>92046</v>
      </c>
      <c r="M233" s="8">
        <v>95602</v>
      </c>
      <c r="N233" s="8">
        <v>90393</v>
      </c>
      <c r="O233" s="8">
        <v>89575</v>
      </c>
      <c r="P233" s="8">
        <v>83159</v>
      </c>
      <c r="Q233" s="8">
        <v>73595</v>
      </c>
      <c r="R233" s="8">
        <v>57668</v>
      </c>
      <c r="S233" s="8">
        <v>43889</v>
      </c>
      <c r="T233" s="8">
        <v>46013</v>
      </c>
      <c r="U233" s="7">
        <f t="shared" si="12"/>
        <v>19.829068489520409</v>
      </c>
      <c r="V233" s="7">
        <f t="shared" si="13"/>
        <v>68.668713999547919</v>
      </c>
      <c r="W233" s="7">
        <f t="shared" si="14"/>
        <v>11.502217510931665</v>
      </c>
      <c r="X233" s="7">
        <f>SUM(I233:L233)/D233*100</f>
        <v>28.039315026851757</v>
      </c>
      <c r="Y233" s="7">
        <f t="shared" si="15"/>
        <v>45.626726023525563</v>
      </c>
    </row>
    <row r="234" spans="1:25" x14ac:dyDescent="0.25">
      <c r="A234" s="57">
        <v>3506</v>
      </c>
      <c r="B234" t="s">
        <v>60</v>
      </c>
      <c r="C234" t="s">
        <v>312</v>
      </c>
      <c r="D234" s="8">
        <v>1714171</v>
      </c>
      <c r="E234" s="8">
        <v>122933</v>
      </c>
      <c r="F234" s="8">
        <v>116010</v>
      </c>
      <c r="G234" s="8">
        <v>117974</v>
      </c>
      <c r="H234" s="8">
        <v>118493</v>
      </c>
      <c r="I234" s="8">
        <v>123746</v>
      </c>
      <c r="J234" s="8">
        <v>126412</v>
      </c>
      <c r="K234" s="8">
        <v>119625</v>
      </c>
      <c r="L234" s="8">
        <v>119162</v>
      </c>
      <c r="M234" s="8">
        <v>126152</v>
      </c>
      <c r="N234" s="8">
        <v>122602</v>
      </c>
      <c r="O234" s="8">
        <v>117198</v>
      </c>
      <c r="P234" s="8">
        <v>108730</v>
      </c>
      <c r="Q234" s="8">
        <v>96265</v>
      </c>
      <c r="R234" s="8">
        <v>72270</v>
      </c>
      <c r="S234" s="8">
        <v>50423</v>
      </c>
      <c r="T234" s="8">
        <v>56176</v>
      </c>
      <c r="U234" s="7">
        <f t="shared" si="12"/>
        <v>20.821551642164053</v>
      </c>
      <c r="V234" s="7">
        <f t="shared" si="13"/>
        <v>68.743725100938008</v>
      </c>
      <c r="W234" s="7">
        <f t="shared" si="14"/>
        <v>10.434723256897941</v>
      </c>
      <c r="X234" s="7">
        <f>SUM(I234:L234)/D234*100</f>
        <v>28.523700377616933</v>
      </c>
      <c r="Y234" s="7">
        <f t="shared" si="15"/>
        <v>45.467822485859884</v>
      </c>
    </row>
    <row r="235" spans="1:25" x14ac:dyDescent="0.25">
      <c r="A235" s="57">
        <v>3507</v>
      </c>
      <c r="B235" t="s">
        <v>60</v>
      </c>
      <c r="C235" t="s">
        <v>313</v>
      </c>
      <c r="D235" s="8">
        <v>2774002</v>
      </c>
      <c r="E235" s="8">
        <v>198425</v>
      </c>
      <c r="F235" s="8">
        <v>177903</v>
      </c>
      <c r="G235" s="8">
        <v>196212</v>
      </c>
      <c r="H235" s="8">
        <v>194817</v>
      </c>
      <c r="I235" s="8">
        <v>191007</v>
      </c>
      <c r="J235" s="8">
        <v>196632</v>
      </c>
      <c r="K235" s="8">
        <v>200142</v>
      </c>
      <c r="L235" s="8">
        <v>205524</v>
      </c>
      <c r="M235" s="8">
        <v>207261</v>
      </c>
      <c r="N235" s="8">
        <v>204615</v>
      </c>
      <c r="O235" s="8">
        <v>188439</v>
      </c>
      <c r="P235" s="8">
        <v>173890</v>
      </c>
      <c r="Q235" s="8">
        <v>151510</v>
      </c>
      <c r="R235" s="8">
        <v>119772</v>
      </c>
      <c r="S235" s="8">
        <v>84039</v>
      </c>
      <c r="T235" s="8">
        <v>83814</v>
      </c>
      <c r="U235" s="7">
        <f t="shared" si="12"/>
        <v>20.639494852563192</v>
      </c>
      <c r="V235" s="7">
        <f t="shared" si="13"/>
        <v>68.991911325226155</v>
      </c>
      <c r="W235" s="7">
        <f t="shared" si="14"/>
        <v>10.368593822210654</v>
      </c>
      <c r="X235" s="7">
        <f>SUM(I235:L235)/D235*100</f>
        <v>28.597852488931153</v>
      </c>
      <c r="Y235" s="7">
        <f t="shared" si="15"/>
        <v>44.944527668761758</v>
      </c>
    </row>
    <row r="236" spans="1:25" x14ac:dyDescent="0.25">
      <c r="A236" s="57">
        <v>3508</v>
      </c>
      <c r="B236" t="s">
        <v>60</v>
      </c>
      <c r="C236" t="s">
        <v>314</v>
      </c>
      <c r="D236" s="8">
        <v>1158367</v>
      </c>
      <c r="E236" s="8">
        <v>78771</v>
      </c>
      <c r="F236" s="8">
        <v>77787</v>
      </c>
      <c r="G236" s="8">
        <v>75489</v>
      </c>
      <c r="H236" s="8">
        <v>77822</v>
      </c>
      <c r="I236" s="8">
        <v>84335</v>
      </c>
      <c r="J236" s="8">
        <v>85572</v>
      </c>
      <c r="K236" s="8">
        <v>84020</v>
      </c>
      <c r="L236" s="8">
        <v>83644</v>
      </c>
      <c r="M236" s="8">
        <v>79952</v>
      </c>
      <c r="N236" s="8">
        <v>80893</v>
      </c>
      <c r="O236" s="8">
        <v>78291</v>
      </c>
      <c r="P236" s="8">
        <v>73008</v>
      </c>
      <c r="Q236" s="8">
        <v>64703</v>
      </c>
      <c r="R236" s="8">
        <v>54079</v>
      </c>
      <c r="S236" s="8">
        <v>38824</v>
      </c>
      <c r="T236" s="8">
        <v>41177</v>
      </c>
      <c r="U236" s="7">
        <f t="shared" si="12"/>
        <v>20.032252300005094</v>
      </c>
      <c r="V236" s="7">
        <f t="shared" si="13"/>
        <v>68.392832323434632</v>
      </c>
      <c r="W236" s="7">
        <f t="shared" si="14"/>
        <v>11.574915376560279</v>
      </c>
      <c r="X236" s="7">
        <f>SUM(I236:L236)/D236*100</f>
        <v>29.141973139773491</v>
      </c>
      <c r="Y236" s="7">
        <f t="shared" si="15"/>
        <v>46.214152277087749</v>
      </c>
    </row>
    <row r="237" spans="1:25" x14ac:dyDescent="0.25">
      <c r="A237" s="57">
        <v>3509</v>
      </c>
      <c r="B237" t="s">
        <v>60</v>
      </c>
      <c r="C237" t="s">
        <v>315</v>
      </c>
      <c r="D237" s="8">
        <v>2635737</v>
      </c>
      <c r="E237" s="8">
        <v>189716</v>
      </c>
      <c r="F237" s="8">
        <v>163317</v>
      </c>
      <c r="G237" s="8">
        <v>179579</v>
      </c>
      <c r="H237" s="8">
        <v>184519</v>
      </c>
      <c r="I237" s="8">
        <v>193449</v>
      </c>
      <c r="J237" s="8">
        <v>195805</v>
      </c>
      <c r="K237" s="8">
        <v>200088</v>
      </c>
      <c r="L237" s="8">
        <v>198440</v>
      </c>
      <c r="M237" s="8">
        <v>186701</v>
      </c>
      <c r="N237" s="8">
        <v>183555</v>
      </c>
      <c r="O237" s="8">
        <v>178741</v>
      </c>
      <c r="P237" s="8">
        <v>164142</v>
      </c>
      <c r="Q237" s="8">
        <v>139206</v>
      </c>
      <c r="R237" s="8">
        <v>109651</v>
      </c>
      <c r="S237" s="8">
        <v>82044</v>
      </c>
      <c r="T237" s="8">
        <v>86784</v>
      </c>
      <c r="U237" s="7">
        <f t="shared" si="12"/>
        <v>20.207327210567673</v>
      </c>
      <c r="V237" s="7">
        <f t="shared" si="13"/>
        <v>69.227164925787363</v>
      </c>
      <c r="W237" s="7">
        <f t="shared" si="14"/>
        <v>10.565507863644969</v>
      </c>
      <c r="X237" s="7">
        <f>SUM(I237:L237)/D237*100</f>
        <v>29.888490391871418</v>
      </c>
      <c r="Y237" s="7">
        <f t="shared" si="15"/>
        <v>44.451964929087616</v>
      </c>
    </row>
    <row r="238" spans="1:25" x14ac:dyDescent="0.25">
      <c r="A238" s="57">
        <v>3510</v>
      </c>
      <c r="B238" t="s">
        <v>60</v>
      </c>
      <c r="C238" t="s">
        <v>316</v>
      </c>
      <c r="D238" s="8">
        <v>1774328</v>
      </c>
      <c r="E238" s="8">
        <v>122195</v>
      </c>
      <c r="F238" s="8">
        <v>119078</v>
      </c>
      <c r="G238" s="8">
        <v>119177</v>
      </c>
      <c r="H238" s="8">
        <v>122722</v>
      </c>
      <c r="I238" s="8">
        <v>127185</v>
      </c>
      <c r="J238" s="8">
        <v>127812</v>
      </c>
      <c r="K238" s="8">
        <v>125619</v>
      </c>
      <c r="L238" s="8">
        <v>121233</v>
      </c>
      <c r="M238" s="8">
        <v>120023</v>
      </c>
      <c r="N238" s="8">
        <v>128047</v>
      </c>
      <c r="O238" s="8">
        <v>127691</v>
      </c>
      <c r="P238" s="8">
        <v>115962</v>
      </c>
      <c r="Q238" s="8">
        <v>99260</v>
      </c>
      <c r="R238" s="8">
        <v>76928</v>
      </c>
      <c r="S238" s="8">
        <v>55599</v>
      </c>
      <c r="T238" s="8">
        <v>65797</v>
      </c>
      <c r="U238" s="7">
        <f t="shared" si="12"/>
        <v>20.314733239851932</v>
      </c>
      <c r="V238" s="7">
        <f t="shared" si="13"/>
        <v>68.507851986780338</v>
      </c>
      <c r="W238" s="7">
        <f t="shared" si="14"/>
        <v>11.177414773367721</v>
      </c>
      <c r="X238" s="7">
        <f>SUM(I238:L238)/D238*100</f>
        <v>28.283891140758644</v>
      </c>
      <c r="Y238" s="7">
        <f t="shared" si="15"/>
        <v>45.968669429741496</v>
      </c>
    </row>
    <row r="239" spans="1:25" x14ac:dyDescent="0.25">
      <c r="A239" s="57">
        <v>3511</v>
      </c>
      <c r="B239" t="s">
        <v>60</v>
      </c>
      <c r="C239" t="s">
        <v>317</v>
      </c>
      <c r="D239" s="8">
        <v>800132</v>
      </c>
      <c r="E239" s="8">
        <v>56564</v>
      </c>
      <c r="F239" s="8">
        <v>54870</v>
      </c>
      <c r="G239" s="8">
        <v>50530</v>
      </c>
      <c r="H239" s="8">
        <v>51748</v>
      </c>
      <c r="I239" s="8">
        <v>56643</v>
      </c>
      <c r="J239" s="8">
        <v>58081</v>
      </c>
      <c r="K239" s="8">
        <v>57880</v>
      </c>
      <c r="L239" s="8">
        <v>57042</v>
      </c>
      <c r="M239" s="8">
        <v>54812</v>
      </c>
      <c r="N239" s="8">
        <v>56723</v>
      </c>
      <c r="O239" s="8">
        <v>53792</v>
      </c>
      <c r="P239" s="8">
        <v>51633</v>
      </c>
      <c r="Q239" s="8">
        <v>43491</v>
      </c>
      <c r="R239" s="8">
        <v>36818</v>
      </c>
      <c r="S239" s="8">
        <v>26770</v>
      </c>
      <c r="T239" s="8">
        <v>32735</v>
      </c>
      <c r="U239" s="7">
        <f t="shared" si="12"/>
        <v>20.242160043592808</v>
      </c>
      <c r="V239" s="7">
        <f t="shared" si="13"/>
        <v>67.719451290537052</v>
      </c>
      <c r="W239" s="7">
        <f t="shared" si="14"/>
        <v>12.038388665870132</v>
      </c>
      <c r="X239" s="7">
        <f>SUM(I239:L239)/D239*100</f>
        <v>28.701014332635115</v>
      </c>
      <c r="Y239" s="7">
        <f t="shared" si="15"/>
        <v>47.668060054074509</v>
      </c>
    </row>
    <row r="240" spans="1:25" x14ac:dyDescent="0.25">
      <c r="A240" s="57">
        <v>3512</v>
      </c>
      <c r="B240" t="s">
        <v>60</v>
      </c>
      <c r="C240" t="s">
        <v>318</v>
      </c>
      <c r="D240" s="8">
        <v>707572</v>
      </c>
      <c r="E240" s="8">
        <v>49405</v>
      </c>
      <c r="F240" s="8">
        <v>43606</v>
      </c>
      <c r="G240" s="8">
        <v>43169</v>
      </c>
      <c r="H240" s="8">
        <v>45516</v>
      </c>
      <c r="I240" s="8">
        <v>49441</v>
      </c>
      <c r="J240" s="8">
        <v>49997</v>
      </c>
      <c r="K240" s="8">
        <v>50519</v>
      </c>
      <c r="L240" s="8">
        <v>51347</v>
      </c>
      <c r="M240" s="8">
        <v>50469</v>
      </c>
      <c r="N240" s="8">
        <v>52665</v>
      </c>
      <c r="O240" s="8">
        <v>49681</v>
      </c>
      <c r="P240" s="8">
        <v>46212</v>
      </c>
      <c r="Q240" s="8">
        <v>39963</v>
      </c>
      <c r="R240" s="8">
        <v>32972</v>
      </c>
      <c r="S240" s="8">
        <v>24834</v>
      </c>
      <c r="T240" s="8">
        <v>27776</v>
      </c>
      <c r="U240" s="7">
        <f t="shared" si="12"/>
        <v>19.246097923603532</v>
      </c>
      <c r="V240" s="7">
        <f t="shared" si="13"/>
        <v>68.65873720271577</v>
      </c>
      <c r="W240" s="7">
        <f t="shared" si="14"/>
        <v>12.0951648736807</v>
      </c>
      <c r="X240" s="7">
        <f>SUM(I240:L240)/D240*100</f>
        <v>28.449966929160563</v>
      </c>
      <c r="Y240" s="7">
        <f t="shared" si="15"/>
        <v>45.647887034025644</v>
      </c>
    </row>
    <row r="241" spans="1:25" x14ac:dyDescent="0.25">
      <c r="A241" s="57">
        <v>3513</v>
      </c>
      <c r="B241" t="s">
        <v>60</v>
      </c>
      <c r="C241" t="s">
        <v>319</v>
      </c>
      <c r="D241" s="8">
        <v>1200981</v>
      </c>
      <c r="E241" s="8">
        <v>85725</v>
      </c>
      <c r="F241" s="8">
        <v>87870</v>
      </c>
      <c r="G241" s="8">
        <v>86080</v>
      </c>
      <c r="H241" s="8">
        <v>85302</v>
      </c>
      <c r="I241" s="8">
        <v>85358</v>
      </c>
      <c r="J241" s="8">
        <v>88794</v>
      </c>
      <c r="K241" s="8">
        <v>86890</v>
      </c>
      <c r="L241" s="8">
        <v>88313</v>
      </c>
      <c r="M241" s="8">
        <v>82039</v>
      </c>
      <c r="N241" s="8">
        <v>86269</v>
      </c>
      <c r="O241" s="8">
        <v>81631</v>
      </c>
      <c r="P241" s="8">
        <v>74282</v>
      </c>
      <c r="Q241" s="8">
        <v>62506</v>
      </c>
      <c r="R241" s="8">
        <v>48378</v>
      </c>
      <c r="S241" s="8">
        <v>35435</v>
      </c>
      <c r="T241" s="8">
        <v>36109</v>
      </c>
      <c r="U241" s="7">
        <f t="shared" si="12"/>
        <v>21.621907424014204</v>
      </c>
      <c r="V241" s="7">
        <f t="shared" si="13"/>
        <v>68.39275558897269</v>
      </c>
      <c r="W241" s="7">
        <f t="shared" si="14"/>
        <v>9.9853369870131168</v>
      </c>
      <c r="X241" s="7">
        <f>SUM(I241:L241)/D241*100</f>
        <v>29.089136297743263</v>
      </c>
      <c r="Y241" s="7">
        <f t="shared" si="15"/>
        <v>46.214316324642311</v>
      </c>
    </row>
    <row r="242" spans="1:25" x14ac:dyDescent="0.25">
      <c r="A242" s="57">
        <v>3514</v>
      </c>
      <c r="B242" t="s">
        <v>60</v>
      </c>
      <c r="C242" t="s">
        <v>320</v>
      </c>
      <c r="D242" s="8">
        <v>1681022</v>
      </c>
      <c r="E242" s="8">
        <v>115514</v>
      </c>
      <c r="F242" s="8">
        <v>118108</v>
      </c>
      <c r="G242" s="8">
        <v>122965</v>
      </c>
      <c r="H242" s="8">
        <v>119841</v>
      </c>
      <c r="I242" s="8">
        <v>119940</v>
      </c>
      <c r="J242" s="8">
        <v>125249</v>
      </c>
      <c r="K242" s="8">
        <v>129635</v>
      </c>
      <c r="L242" s="8">
        <v>130155</v>
      </c>
      <c r="M242" s="8">
        <v>124109</v>
      </c>
      <c r="N242" s="8">
        <v>123925</v>
      </c>
      <c r="O242" s="8">
        <v>113699</v>
      </c>
      <c r="P242" s="8">
        <v>103178</v>
      </c>
      <c r="Q242" s="8">
        <v>85883</v>
      </c>
      <c r="R242" s="8">
        <v>66174</v>
      </c>
      <c r="S242" s="8">
        <v>43175</v>
      </c>
      <c r="T242" s="8">
        <v>39472</v>
      </c>
      <c r="U242" s="7">
        <f t="shared" si="12"/>
        <v>21.212512388297121</v>
      </c>
      <c r="V242" s="7">
        <f t="shared" si="13"/>
        <v>69.93448033398731</v>
      </c>
      <c r="W242" s="7">
        <f t="shared" si="14"/>
        <v>8.8530072777155802</v>
      </c>
      <c r="X242" s="7">
        <f>SUM(I242:L242)/D242*100</f>
        <v>30.039999476508932</v>
      </c>
      <c r="Y242" s="7">
        <f t="shared" si="15"/>
        <v>42.990981733800382</v>
      </c>
    </row>
    <row r="243" spans="1:25" x14ac:dyDescent="0.25">
      <c r="A243" s="57">
        <v>3515</v>
      </c>
      <c r="B243" t="s">
        <v>60</v>
      </c>
      <c r="C243" t="s">
        <v>321</v>
      </c>
      <c r="D243" s="8">
        <v>2215288</v>
      </c>
      <c r="E243" s="8">
        <v>147248</v>
      </c>
      <c r="F243" s="8">
        <v>147539</v>
      </c>
      <c r="G243" s="8">
        <v>159398</v>
      </c>
      <c r="H243" s="8">
        <v>164705</v>
      </c>
      <c r="I243" s="8">
        <v>162099</v>
      </c>
      <c r="J243" s="8">
        <v>162437</v>
      </c>
      <c r="K243" s="8">
        <v>171095</v>
      </c>
      <c r="L243" s="8">
        <v>167598</v>
      </c>
      <c r="M243" s="8">
        <v>169141</v>
      </c>
      <c r="N243" s="8">
        <v>168994</v>
      </c>
      <c r="O243" s="8">
        <v>162703</v>
      </c>
      <c r="P243" s="8">
        <v>144499</v>
      </c>
      <c r="Q243" s="8">
        <v>112173</v>
      </c>
      <c r="R243" s="8">
        <v>81181</v>
      </c>
      <c r="S243" s="8">
        <v>52544</v>
      </c>
      <c r="T243" s="8">
        <v>41934</v>
      </c>
      <c r="U243" s="7">
        <f t="shared" si="12"/>
        <v>20.502300378099822</v>
      </c>
      <c r="V243" s="7">
        <f t="shared" si="13"/>
        <v>71.568301728714275</v>
      </c>
      <c r="W243" s="7">
        <f t="shared" si="14"/>
        <v>7.9293978931858966</v>
      </c>
      <c r="X243" s="7">
        <f>SUM(I243:L243)/D243*100</f>
        <v>29.938725799986276</v>
      </c>
      <c r="Y243" s="7">
        <f t="shared" si="15"/>
        <v>39.726663319549601</v>
      </c>
    </row>
    <row r="244" spans="1:25" x14ac:dyDescent="0.25">
      <c r="A244" s="57">
        <v>3516</v>
      </c>
      <c r="B244" t="s">
        <v>60</v>
      </c>
      <c r="C244" t="s">
        <v>322</v>
      </c>
      <c r="D244" s="8">
        <v>1170760</v>
      </c>
      <c r="E244" s="8">
        <v>79311</v>
      </c>
      <c r="F244" s="8">
        <v>86964</v>
      </c>
      <c r="G244" s="8">
        <v>84477</v>
      </c>
      <c r="H244" s="8">
        <v>83362</v>
      </c>
      <c r="I244" s="8">
        <v>81795</v>
      </c>
      <c r="J244" s="8">
        <v>82185</v>
      </c>
      <c r="K244" s="8">
        <v>87990</v>
      </c>
      <c r="L244" s="8">
        <v>87057</v>
      </c>
      <c r="M244" s="8">
        <v>85839</v>
      </c>
      <c r="N244" s="8">
        <v>82081</v>
      </c>
      <c r="O244" s="8">
        <v>81242</v>
      </c>
      <c r="P244" s="8">
        <v>76726</v>
      </c>
      <c r="Q244" s="8">
        <v>63663</v>
      </c>
      <c r="R244" s="8">
        <v>47190</v>
      </c>
      <c r="S244" s="8">
        <v>31038</v>
      </c>
      <c r="T244" s="8">
        <v>29840</v>
      </c>
      <c r="U244" s="7">
        <f t="shared" si="12"/>
        <v>21.417882401175305</v>
      </c>
      <c r="V244" s="7">
        <f t="shared" si="13"/>
        <v>69.351532337968507</v>
      </c>
      <c r="W244" s="7">
        <f t="shared" si="14"/>
        <v>9.2305852608561967</v>
      </c>
      <c r="X244" s="7">
        <f>SUM(I244:L244)/D244*100</f>
        <v>28.957856435136154</v>
      </c>
      <c r="Y244" s="7">
        <f t="shared" si="15"/>
        <v>44.192920659162006</v>
      </c>
    </row>
    <row r="245" spans="1:25" x14ac:dyDescent="0.25">
      <c r="A245" s="57">
        <v>3517</v>
      </c>
      <c r="B245" t="s">
        <v>60</v>
      </c>
      <c r="C245" t="s">
        <v>323</v>
      </c>
      <c r="D245" s="8">
        <v>1384556</v>
      </c>
      <c r="E245" s="8">
        <v>99971</v>
      </c>
      <c r="F245" s="8">
        <v>97194</v>
      </c>
      <c r="G245" s="8">
        <v>100156</v>
      </c>
      <c r="H245" s="8">
        <v>101048</v>
      </c>
      <c r="I245" s="8">
        <v>102638</v>
      </c>
      <c r="J245" s="8">
        <v>99763</v>
      </c>
      <c r="K245" s="8">
        <v>100036</v>
      </c>
      <c r="L245" s="8">
        <v>100789</v>
      </c>
      <c r="M245" s="8">
        <v>102656</v>
      </c>
      <c r="N245" s="8">
        <v>98920</v>
      </c>
      <c r="O245" s="8">
        <v>91988</v>
      </c>
      <c r="P245" s="8">
        <v>85208</v>
      </c>
      <c r="Q245" s="8">
        <v>72937</v>
      </c>
      <c r="R245" s="8">
        <v>55542</v>
      </c>
      <c r="S245" s="8">
        <v>37731</v>
      </c>
      <c r="T245" s="8">
        <v>37979</v>
      </c>
      <c r="U245" s="7">
        <f t="shared" si="12"/>
        <v>21.474104333808093</v>
      </c>
      <c r="V245" s="7">
        <f t="shared" si="13"/>
        <v>69.046177980522273</v>
      </c>
      <c r="W245" s="7">
        <f t="shared" si="14"/>
        <v>9.4797176856696286</v>
      </c>
      <c r="X245" s="7">
        <f>SUM(I245:L245)/D245*100</f>
        <v>29.123126836328755</v>
      </c>
      <c r="Y245" s="7">
        <f t="shared" si="15"/>
        <v>44.830608912501582</v>
      </c>
    </row>
    <row r="246" spans="1:25" x14ac:dyDescent="0.25">
      <c r="A246" s="57">
        <v>3518</v>
      </c>
      <c r="B246" t="s">
        <v>60</v>
      </c>
      <c r="C246" t="s">
        <v>324</v>
      </c>
      <c r="D246" s="8">
        <v>1145155</v>
      </c>
      <c r="E246" s="8">
        <v>77270</v>
      </c>
      <c r="F246" s="8">
        <v>76061</v>
      </c>
      <c r="G246" s="8">
        <v>79380</v>
      </c>
      <c r="H246" s="8">
        <v>81047</v>
      </c>
      <c r="I246" s="8">
        <v>79236</v>
      </c>
      <c r="J246" s="8">
        <v>81629</v>
      </c>
      <c r="K246" s="8">
        <v>78431</v>
      </c>
      <c r="L246" s="8">
        <v>81394</v>
      </c>
      <c r="M246" s="8">
        <v>84807</v>
      </c>
      <c r="N246" s="8">
        <v>84507</v>
      </c>
      <c r="O246" s="8">
        <v>78915</v>
      </c>
      <c r="P246" s="8">
        <v>72536</v>
      </c>
      <c r="Q246" s="8">
        <v>64348</v>
      </c>
      <c r="R246" s="8">
        <v>50365</v>
      </c>
      <c r="S246" s="8">
        <v>35148</v>
      </c>
      <c r="T246" s="8">
        <v>40081</v>
      </c>
      <c r="U246" s="7">
        <f t="shared" si="12"/>
        <v>20.32135387785933</v>
      </c>
      <c r="V246" s="7">
        <f t="shared" si="13"/>
        <v>68.711222498264419</v>
      </c>
      <c r="W246" s="7">
        <f t="shared" si="14"/>
        <v>10.967423623876243</v>
      </c>
      <c r="X246" s="7">
        <f>SUM(I246:L246)/D246*100</f>
        <v>28.00406931812724</v>
      </c>
      <c r="Y246" s="7">
        <f t="shared" si="15"/>
        <v>45.536633411704898</v>
      </c>
    </row>
    <row r="247" spans="1:25" x14ac:dyDescent="0.25">
      <c r="A247" s="57">
        <v>3519</v>
      </c>
      <c r="B247" t="s">
        <v>60</v>
      </c>
      <c r="C247" t="s">
        <v>325</v>
      </c>
      <c r="D247" s="8">
        <v>763828</v>
      </c>
      <c r="E247" s="8">
        <v>49108</v>
      </c>
      <c r="F247" s="8">
        <v>47430</v>
      </c>
      <c r="G247" s="8">
        <v>47968</v>
      </c>
      <c r="H247" s="8">
        <v>48592</v>
      </c>
      <c r="I247" s="8">
        <v>48088</v>
      </c>
      <c r="J247" s="8">
        <v>48764</v>
      </c>
      <c r="K247" s="8">
        <v>50329</v>
      </c>
      <c r="L247" s="8">
        <v>51102</v>
      </c>
      <c r="M247" s="8">
        <v>55026</v>
      </c>
      <c r="N247" s="8">
        <v>57869</v>
      </c>
      <c r="O247" s="8">
        <v>55432</v>
      </c>
      <c r="P247" s="8">
        <v>53313</v>
      </c>
      <c r="Q247" s="8">
        <v>47501</v>
      </c>
      <c r="R247" s="8">
        <v>40120</v>
      </c>
      <c r="S247" s="8">
        <v>30044</v>
      </c>
      <c r="T247" s="8">
        <v>33142</v>
      </c>
      <c r="U247" s="7">
        <f t="shared" si="12"/>
        <v>18.918657079866147</v>
      </c>
      <c r="V247" s="7">
        <f t="shared" si="13"/>
        <v>67.556570327351182</v>
      </c>
      <c r="W247" s="7">
        <f t="shared" si="14"/>
        <v>13.52477259278267</v>
      </c>
      <c r="X247" s="7">
        <f>SUM(I247:L247)/D247*100</f>
        <v>25.959116450300328</v>
      </c>
      <c r="Y247" s="7">
        <f t="shared" si="15"/>
        <v>48.024092276208492</v>
      </c>
    </row>
    <row r="248" spans="1:25" x14ac:dyDescent="0.25">
      <c r="A248" s="57">
        <v>3520</v>
      </c>
      <c r="B248" t="s">
        <v>60</v>
      </c>
      <c r="C248" t="s">
        <v>326</v>
      </c>
      <c r="D248" s="8">
        <v>692785</v>
      </c>
      <c r="E248" s="8">
        <v>44297</v>
      </c>
      <c r="F248" s="8">
        <v>45076</v>
      </c>
      <c r="G248" s="8">
        <v>44773</v>
      </c>
      <c r="H248" s="8">
        <v>44599</v>
      </c>
      <c r="I248" s="8">
        <v>44496</v>
      </c>
      <c r="J248" s="8">
        <v>46058</v>
      </c>
      <c r="K248" s="8">
        <v>45853</v>
      </c>
      <c r="L248" s="8">
        <v>46385</v>
      </c>
      <c r="M248" s="8">
        <v>49204</v>
      </c>
      <c r="N248" s="8">
        <v>50822</v>
      </c>
      <c r="O248" s="8">
        <v>46707</v>
      </c>
      <c r="P248" s="8">
        <v>43940</v>
      </c>
      <c r="Q248" s="8">
        <v>40104</v>
      </c>
      <c r="R248" s="8">
        <v>36848</v>
      </c>
      <c r="S248" s="8">
        <v>29555</v>
      </c>
      <c r="T248" s="8">
        <v>34068</v>
      </c>
      <c r="U248" s="7">
        <f t="shared" si="12"/>
        <v>19.363294528605557</v>
      </c>
      <c r="V248" s="7">
        <f t="shared" si="13"/>
        <v>66.134226347279451</v>
      </c>
      <c r="W248" s="7">
        <f t="shared" si="14"/>
        <v>14.502479124114986</v>
      </c>
      <c r="X248" s="7">
        <f>SUM(I248:L248)/D248*100</f>
        <v>26.385097829774029</v>
      </c>
      <c r="Y248" s="7">
        <f t="shared" si="15"/>
        <v>51.207635627106221</v>
      </c>
    </row>
    <row r="249" spans="1:25" x14ac:dyDescent="0.25">
      <c r="A249" s="57">
        <v>3521</v>
      </c>
      <c r="B249" t="s">
        <v>60</v>
      </c>
      <c r="C249" t="s">
        <v>327</v>
      </c>
      <c r="D249" s="8">
        <v>889988</v>
      </c>
      <c r="E249" s="8">
        <v>55609</v>
      </c>
      <c r="F249" s="8">
        <v>56359</v>
      </c>
      <c r="G249" s="8">
        <v>56883</v>
      </c>
      <c r="H249" s="8">
        <v>58452</v>
      </c>
      <c r="I249" s="8">
        <v>59377</v>
      </c>
      <c r="J249" s="8">
        <v>61346</v>
      </c>
      <c r="K249" s="8">
        <v>58962</v>
      </c>
      <c r="L249" s="8">
        <v>60839</v>
      </c>
      <c r="M249" s="8">
        <v>62721</v>
      </c>
      <c r="N249" s="8">
        <v>63640</v>
      </c>
      <c r="O249" s="8">
        <v>60210</v>
      </c>
      <c r="P249" s="8">
        <v>59564</v>
      </c>
      <c r="Q249" s="8">
        <v>54639</v>
      </c>
      <c r="R249" s="8">
        <v>47629</v>
      </c>
      <c r="S249" s="8">
        <v>36917</v>
      </c>
      <c r="T249" s="8">
        <v>36841</v>
      </c>
      <c r="U249" s="7">
        <f t="shared" si="12"/>
        <v>18.972278277909364</v>
      </c>
      <c r="V249" s="7">
        <f t="shared" si="13"/>
        <v>67.388549059088433</v>
      </c>
      <c r="W249" s="7">
        <f t="shared" si="14"/>
        <v>13.639172663002197</v>
      </c>
      <c r="X249" s="7">
        <f>SUM(I249:L249)/D249*100</f>
        <v>27.02553292853387</v>
      </c>
      <c r="Y249" s="7">
        <f t="shared" si="15"/>
        <v>48.393163818257605</v>
      </c>
    </row>
    <row r="250" spans="1:25" x14ac:dyDescent="0.25">
      <c r="A250" s="57">
        <v>3522</v>
      </c>
      <c r="B250" t="s">
        <v>60</v>
      </c>
      <c r="C250" t="s">
        <v>328</v>
      </c>
      <c r="D250" s="8">
        <v>1335288</v>
      </c>
      <c r="E250" s="8">
        <v>80966</v>
      </c>
      <c r="F250" s="8">
        <v>88362</v>
      </c>
      <c r="G250" s="8">
        <v>87751</v>
      </c>
      <c r="H250" s="8">
        <v>88120</v>
      </c>
      <c r="I250" s="8">
        <v>87925</v>
      </c>
      <c r="J250" s="8">
        <v>91384</v>
      </c>
      <c r="K250" s="8">
        <v>96327</v>
      </c>
      <c r="L250" s="8">
        <v>96779</v>
      </c>
      <c r="M250" s="8">
        <v>97548</v>
      </c>
      <c r="N250" s="8">
        <v>100894</v>
      </c>
      <c r="O250" s="8">
        <v>95240</v>
      </c>
      <c r="P250" s="8">
        <v>90804</v>
      </c>
      <c r="Q250" s="8">
        <v>80345</v>
      </c>
      <c r="R250" s="8">
        <v>64040</v>
      </c>
      <c r="S250" s="8">
        <v>45282</v>
      </c>
      <c r="T250" s="8">
        <v>43521</v>
      </c>
      <c r="U250" s="7">
        <f t="shared" si="12"/>
        <v>19.252700541006885</v>
      </c>
      <c r="V250" s="7">
        <f t="shared" si="13"/>
        <v>69.300854946648215</v>
      </c>
      <c r="W250" s="7">
        <f t="shared" si="14"/>
        <v>11.446444512344902</v>
      </c>
      <c r="X250" s="7">
        <f>SUM(I250:L250)/D250*100</f>
        <v>27.890237911222147</v>
      </c>
      <c r="Y250" s="7">
        <f t="shared" si="15"/>
        <v>44.298364106742625</v>
      </c>
    </row>
    <row r="251" spans="1:25" x14ac:dyDescent="0.25">
      <c r="A251" s="57">
        <v>3523</v>
      </c>
      <c r="B251" t="s">
        <v>60</v>
      </c>
      <c r="C251" t="s">
        <v>329</v>
      </c>
      <c r="D251" s="8">
        <v>1237088</v>
      </c>
      <c r="E251" s="8">
        <v>78769</v>
      </c>
      <c r="F251" s="8">
        <v>75795</v>
      </c>
      <c r="G251" s="8">
        <v>84407</v>
      </c>
      <c r="H251" s="8">
        <v>83541</v>
      </c>
      <c r="I251" s="8">
        <v>80609</v>
      </c>
      <c r="J251" s="8">
        <v>86673</v>
      </c>
      <c r="K251" s="8">
        <v>91489</v>
      </c>
      <c r="L251" s="8">
        <v>95627</v>
      </c>
      <c r="M251" s="8">
        <v>92803</v>
      </c>
      <c r="N251" s="8">
        <v>93501</v>
      </c>
      <c r="O251" s="8">
        <v>86516</v>
      </c>
      <c r="P251" s="8">
        <v>79166</v>
      </c>
      <c r="Q251" s="8">
        <v>70368</v>
      </c>
      <c r="R251" s="8">
        <v>58269</v>
      </c>
      <c r="S251" s="8">
        <v>40508</v>
      </c>
      <c r="T251" s="8">
        <v>39047</v>
      </c>
      <c r="U251" s="7">
        <f t="shared" si="12"/>
        <v>19.317219146899816</v>
      </c>
      <c r="V251" s="7">
        <f t="shared" si="13"/>
        <v>69.541778757857159</v>
      </c>
      <c r="W251" s="7">
        <f t="shared" si="14"/>
        <v>11.141002095243021</v>
      </c>
      <c r="X251" s="7">
        <f>SUM(I251:L251)/D251*100</f>
        <v>28.647759900669961</v>
      </c>
      <c r="Y251" s="7">
        <f t="shared" si="15"/>
        <v>43.798450062943672</v>
      </c>
    </row>
    <row r="252" spans="1:25" x14ac:dyDescent="0.25">
      <c r="A252" s="57">
        <v>3524</v>
      </c>
      <c r="B252" t="s">
        <v>60</v>
      </c>
      <c r="C252" t="s">
        <v>330</v>
      </c>
      <c r="D252" s="8">
        <v>1394222</v>
      </c>
      <c r="E252" s="8">
        <v>92479</v>
      </c>
      <c r="F252" s="8">
        <v>91291</v>
      </c>
      <c r="G252" s="8">
        <v>89841</v>
      </c>
      <c r="H252" s="8">
        <v>89659</v>
      </c>
      <c r="I252" s="8">
        <v>94988</v>
      </c>
      <c r="J252" s="8">
        <v>102085</v>
      </c>
      <c r="K252" s="8">
        <v>105948</v>
      </c>
      <c r="L252" s="8">
        <v>100191</v>
      </c>
      <c r="M252" s="8">
        <v>96199</v>
      </c>
      <c r="N252" s="8">
        <v>98687</v>
      </c>
      <c r="O252" s="8">
        <v>98972</v>
      </c>
      <c r="P252" s="8">
        <v>90894</v>
      </c>
      <c r="Q252" s="8">
        <v>80848</v>
      </c>
      <c r="R252" s="8">
        <v>66945</v>
      </c>
      <c r="S252" s="8">
        <v>47291</v>
      </c>
      <c r="T252" s="8">
        <v>47904</v>
      </c>
      <c r="U252" s="7">
        <f t="shared" si="12"/>
        <v>19.624636535644967</v>
      </c>
      <c r="V252" s="7">
        <f t="shared" si="13"/>
        <v>68.745938595144821</v>
      </c>
      <c r="W252" s="7">
        <f t="shared" si="14"/>
        <v>11.629424869210212</v>
      </c>
      <c r="X252" s="7">
        <f>SUM(I252:L252)/D252*100</f>
        <v>28.920215001628147</v>
      </c>
      <c r="Y252" s="7">
        <f t="shared" si="15"/>
        <v>45.46313868651216</v>
      </c>
    </row>
    <row r="253" spans="1:25" x14ac:dyDescent="0.25">
      <c r="A253" s="57">
        <v>3525</v>
      </c>
      <c r="B253" t="s">
        <v>60</v>
      </c>
      <c r="C253" t="s">
        <v>331</v>
      </c>
      <c r="D253" s="8">
        <v>1390172</v>
      </c>
      <c r="E253" s="8">
        <v>96981</v>
      </c>
      <c r="F253" s="8">
        <v>96795</v>
      </c>
      <c r="G253" s="8">
        <v>101977</v>
      </c>
      <c r="H253" s="8">
        <v>102582</v>
      </c>
      <c r="I253" s="8">
        <v>102468</v>
      </c>
      <c r="J253" s="8">
        <v>100685</v>
      </c>
      <c r="K253" s="8">
        <v>104776</v>
      </c>
      <c r="L253" s="8">
        <v>103749</v>
      </c>
      <c r="M253" s="8">
        <v>105964</v>
      </c>
      <c r="N253" s="8">
        <v>108746</v>
      </c>
      <c r="O253" s="8">
        <v>99017</v>
      </c>
      <c r="P253" s="8">
        <v>84294</v>
      </c>
      <c r="Q253" s="8">
        <v>67453</v>
      </c>
      <c r="R253" s="8">
        <v>51294</v>
      </c>
      <c r="S253" s="8">
        <v>34439</v>
      </c>
      <c r="T253" s="8">
        <v>28952</v>
      </c>
      <c r="U253" s="7">
        <f t="shared" si="12"/>
        <v>21.274561708910838</v>
      </c>
      <c r="V253" s="7">
        <f t="shared" si="13"/>
        <v>70.47573969264235</v>
      </c>
      <c r="W253" s="7">
        <f t="shared" si="14"/>
        <v>8.2496985984468107</v>
      </c>
      <c r="X253" s="7">
        <f>SUM(I253:L253)/D253*100</f>
        <v>29.613457903050843</v>
      </c>
      <c r="Y253" s="7">
        <f t="shared" si="15"/>
        <v>41.892799474142983</v>
      </c>
    </row>
    <row r="254" spans="1:25" x14ac:dyDescent="0.25">
      <c r="A254" s="57">
        <v>3526</v>
      </c>
      <c r="B254" t="s">
        <v>60</v>
      </c>
      <c r="C254" t="s">
        <v>332</v>
      </c>
      <c r="D254" s="8">
        <v>1123061</v>
      </c>
      <c r="E254" s="8">
        <v>92460</v>
      </c>
      <c r="F254" s="8">
        <v>70326</v>
      </c>
      <c r="G254" s="8">
        <v>81321</v>
      </c>
      <c r="H254" s="8">
        <v>87075</v>
      </c>
      <c r="I254" s="8">
        <v>88554</v>
      </c>
      <c r="J254" s="8">
        <v>92792</v>
      </c>
      <c r="K254" s="8">
        <v>95239</v>
      </c>
      <c r="L254" s="8">
        <v>98006</v>
      </c>
      <c r="M254" s="8">
        <v>82720</v>
      </c>
      <c r="N254" s="8">
        <v>73901</v>
      </c>
      <c r="O254" s="8">
        <v>63216</v>
      </c>
      <c r="P254" s="8">
        <v>55975</v>
      </c>
      <c r="Q254" s="8">
        <v>49021</v>
      </c>
      <c r="R254" s="8">
        <v>38296</v>
      </c>
      <c r="S254" s="8">
        <v>26682</v>
      </c>
      <c r="T254" s="8">
        <v>27477</v>
      </c>
      <c r="U254" s="7">
        <f t="shared" si="12"/>
        <v>21.735862967372206</v>
      </c>
      <c r="V254" s="7">
        <f t="shared" si="13"/>
        <v>70.031725792276646</v>
      </c>
      <c r="W254" s="7">
        <f t="shared" si="14"/>
        <v>8.2324112403511478</v>
      </c>
      <c r="X254" s="7">
        <f>SUM(I254:L254)/D254*100</f>
        <v>33.354466053046096</v>
      </c>
      <c r="Y254" s="7">
        <f t="shared" si="15"/>
        <v>42.792425673777082</v>
      </c>
    </row>
    <row r="255" spans="1:25" x14ac:dyDescent="0.25">
      <c r="A255" s="57">
        <v>3527</v>
      </c>
      <c r="B255" t="s">
        <v>60</v>
      </c>
      <c r="C255" t="s">
        <v>333</v>
      </c>
      <c r="D255" s="8">
        <v>1038386</v>
      </c>
      <c r="E255" s="8">
        <v>93846</v>
      </c>
      <c r="F255" s="8">
        <v>82879</v>
      </c>
      <c r="G255" s="8">
        <v>76542</v>
      </c>
      <c r="H255" s="8">
        <v>70748</v>
      </c>
      <c r="I255" s="8">
        <v>68932</v>
      </c>
      <c r="J255" s="8">
        <v>87634</v>
      </c>
      <c r="K255" s="8">
        <v>92298</v>
      </c>
      <c r="L255" s="8">
        <v>92359</v>
      </c>
      <c r="M255" s="8">
        <v>75399</v>
      </c>
      <c r="N255" s="8">
        <v>69975</v>
      </c>
      <c r="O255" s="8">
        <v>56567</v>
      </c>
      <c r="P255" s="8">
        <v>50474</v>
      </c>
      <c r="Q255" s="8">
        <v>41694</v>
      </c>
      <c r="R255" s="8">
        <v>32656</v>
      </c>
      <c r="S255" s="8">
        <v>22548</v>
      </c>
      <c r="T255" s="8">
        <v>23835</v>
      </c>
      <c r="U255" s="7">
        <f t="shared" si="12"/>
        <v>24.390448253347021</v>
      </c>
      <c r="V255" s="7">
        <f t="shared" si="13"/>
        <v>67.997835101782954</v>
      </c>
      <c r="W255" s="7">
        <f t="shared" si="14"/>
        <v>7.6117166448700191</v>
      </c>
      <c r="X255" s="7">
        <f>SUM(I255:L255)/D255*100</f>
        <v>32.860901437423081</v>
      </c>
      <c r="Y255" s="7">
        <f t="shared" si="15"/>
        <v>47.063505551778832</v>
      </c>
    </row>
    <row r="256" spans="1:25" x14ac:dyDescent="0.25">
      <c r="A256" s="57">
        <v>3528</v>
      </c>
      <c r="B256" t="s">
        <v>60</v>
      </c>
      <c r="C256" t="s">
        <v>334</v>
      </c>
      <c r="D256" s="8">
        <v>901666</v>
      </c>
      <c r="E256" s="8">
        <v>71714</v>
      </c>
      <c r="F256" s="8">
        <v>70574</v>
      </c>
      <c r="G256" s="8">
        <v>64128</v>
      </c>
      <c r="H256" s="8">
        <v>62506</v>
      </c>
      <c r="I256" s="8">
        <v>63287</v>
      </c>
      <c r="J256" s="8">
        <v>72845</v>
      </c>
      <c r="K256" s="8">
        <v>68843</v>
      </c>
      <c r="L256" s="8">
        <v>69720</v>
      </c>
      <c r="M256" s="8">
        <v>63810</v>
      </c>
      <c r="N256" s="8">
        <v>66948</v>
      </c>
      <c r="O256" s="8">
        <v>58316</v>
      </c>
      <c r="P256" s="8">
        <v>50149</v>
      </c>
      <c r="Q256" s="8">
        <v>42138</v>
      </c>
      <c r="R256" s="8">
        <v>30966</v>
      </c>
      <c r="S256" s="8">
        <v>22456</v>
      </c>
      <c r="T256" s="8">
        <v>23266</v>
      </c>
      <c r="U256" s="7">
        <f t="shared" si="12"/>
        <v>22.892734116624116</v>
      </c>
      <c r="V256" s="7">
        <f t="shared" si="13"/>
        <v>68.602120962751172</v>
      </c>
      <c r="W256" s="7">
        <f t="shared" si="14"/>
        <v>8.5051449206247103</v>
      </c>
      <c r="X256" s="7">
        <f>SUM(I256:L256)/D256*100</f>
        <v>30.465272063047738</v>
      </c>
      <c r="Y256" s="7">
        <f t="shared" si="15"/>
        <v>45.768087920046817</v>
      </c>
    </row>
    <row r="257" spans="1:25" x14ac:dyDescent="0.25">
      <c r="A257" s="57">
        <v>3529</v>
      </c>
      <c r="B257" t="s">
        <v>60</v>
      </c>
      <c r="C257" t="s">
        <v>335</v>
      </c>
      <c r="D257" s="8">
        <v>1165227</v>
      </c>
      <c r="E257" s="8">
        <v>84712</v>
      </c>
      <c r="F257" s="8">
        <v>71715</v>
      </c>
      <c r="G257" s="8">
        <v>71048</v>
      </c>
      <c r="H257" s="8">
        <v>73155</v>
      </c>
      <c r="I257" s="8">
        <v>77158</v>
      </c>
      <c r="J257" s="8">
        <v>81185</v>
      </c>
      <c r="K257" s="8">
        <v>80703</v>
      </c>
      <c r="L257" s="8">
        <v>87427</v>
      </c>
      <c r="M257" s="8">
        <v>81450</v>
      </c>
      <c r="N257" s="8">
        <v>88537</v>
      </c>
      <c r="O257" s="8">
        <v>83838</v>
      </c>
      <c r="P257" s="8">
        <v>78315</v>
      </c>
      <c r="Q257" s="8">
        <v>66155</v>
      </c>
      <c r="R257" s="8">
        <v>54206</v>
      </c>
      <c r="S257" s="8">
        <v>39555</v>
      </c>
      <c r="T257" s="8">
        <v>46068</v>
      </c>
      <c r="U257" s="7">
        <f t="shared" si="12"/>
        <v>19.521947225733697</v>
      </c>
      <c r="V257" s="7">
        <f t="shared" si="13"/>
        <v>68.477901730735724</v>
      </c>
      <c r="W257" s="7">
        <f t="shared" si="14"/>
        <v>12.000151043530574</v>
      </c>
      <c r="X257" s="7">
        <f>SUM(I257:L257)/D257*100</f>
        <v>28.017974180138289</v>
      </c>
      <c r="Y257" s="7">
        <f t="shared" si="15"/>
        <v>46.032511909043855</v>
      </c>
    </row>
    <row r="258" spans="1:25" x14ac:dyDescent="0.25">
      <c r="A258" s="57">
        <v>3571</v>
      </c>
      <c r="B258" t="s">
        <v>60</v>
      </c>
      <c r="C258" t="s">
        <v>336</v>
      </c>
      <c r="D258" s="8">
        <v>304129</v>
      </c>
      <c r="E258" s="8">
        <v>21205</v>
      </c>
      <c r="F258" s="8">
        <v>21101</v>
      </c>
      <c r="G258" s="8">
        <v>21740</v>
      </c>
      <c r="H258" s="8">
        <v>22516</v>
      </c>
      <c r="I258" s="8">
        <v>25554</v>
      </c>
      <c r="J258" s="8">
        <v>24801</v>
      </c>
      <c r="K258" s="8">
        <v>21355</v>
      </c>
      <c r="L258" s="8">
        <v>20205</v>
      </c>
      <c r="M258" s="8">
        <v>22100</v>
      </c>
      <c r="N258" s="8">
        <v>21926</v>
      </c>
      <c r="O258" s="8">
        <v>19275</v>
      </c>
      <c r="P258" s="8">
        <v>17796</v>
      </c>
      <c r="Q258" s="8">
        <v>15552</v>
      </c>
      <c r="R258" s="8">
        <v>12347</v>
      </c>
      <c r="S258" s="8">
        <v>8630</v>
      </c>
      <c r="T258" s="8">
        <v>8026</v>
      </c>
      <c r="U258" s="7">
        <f t="shared" si="12"/>
        <v>21.058827010906555</v>
      </c>
      <c r="V258" s="7">
        <f t="shared" si="13"/>
        <v>69.404759164696557</v>
      </c>
      <c r="W258" s="7">
        <f t="shared" si="14"/>
        <v>9.5364138243968846</v>
      </c>
      <c r="X258" s="7">
        <f>SUM(I258:L258)/D258*100</f>
        <v>30.222372743145176</v>
      </c>
      <c r="Y258" s="7">
        <f t="shared" si="15"/>
        <v>44.082338449876822</v>
      </c>
    </row>
    <row r="259" spans="1:25" x14ac:dyDescent="0.25">
      <c r="A259" s="57">
        <v>3572</v>
      </c>
      <c r="B259" t="s">
        <v>60</v>
      </c>
      <c r="C259" t="s">
        <v>337</v>
      </c>
      <c r="D259" s="8">
        <v>157785</v>
      </c>
      <c r="E259" s="8">
        <v>10888</v>
      </c>
      <c r="F259" s="8">
        <v>10861</v>
      </c>
      <c r="G259" s="8">
        <v>11095</v>
      </c>
      <c r="H259" s="8">
        <v>11466</v>
      </c>
      <c r="I259" s="8">
        <v>11808</v>
      </c>
      <c r="J259" s="8">
        <v>11691</v>
      </c>
      <c r="K259" s="8">
        <v>11364</v>
      </c>
      <c r="L259" s="8">
        <v>11496</v>
      </c>
      <c r="M259" s="8">
        <v>12148</v>
      </c>
      <c r="N259" s="8">
        <v>11491</v>
      </c>
      <c r="O259" s="8">
        <v>10292</v>
      </c>
      <c r="P259" s="8">
        <v>9526</v>
      </c>
      <c r="Q259" s="8">
        <v>8092</v>
      </c>
      <c r="R259" s="8">
        <v>6355</v>
      </c>
      <c r="S259" s="8">
        <v>4662</v>
      </c>
      <c r="T259" s="8">
        <v>4550</v>
      </c>
      <c r="U259" s="7">
        <f t="shared" ref="U259:U322" si="16">SUM(E259:G259)/D259*100</f>
        <v>20.815666888487499</v>
      </c>
      <c r="V259" s="7">
        <f t="shared" ref="V259:V322" si="17">SUM(H259:Q259)/D259*100</f>
        <v>69.318376271508697</v>
      </c>
      <c r="W259" s="7">
        <f t="shared" ref="W259:W322" si="18">SUM(R259:T259)/D259*100</f>
        <v>9.8659568400038022</v>
      </c>
      <c r="X259" s="7">
        <f>SUM(I259:L259)/D259*100</f>
        <v>29.381119878315431</v>
      </c>
      <c r="Y259" s="7">
        <f t="shared" ref="Y259:Y322" si="19">SUM(E259:G259,R259:T259)/SUM(H259:Q259)*100</f>
        <v>44.261890394426459</v>
      </c>
    </row>
    <row r="260" spans="1:25" x14ac:dyDescent="0.25">
      <c r="A260" s="57">
        <v>3573</v>
      </c>
      <c r="B260" t="s">
        <v>60</v>
      </c>
      <c r="C260" t="s">
        <v>338</v>
      </c>
      <c r="D260" s="8">
        <v>886820</v>
      </c>
      <c r="E260" s="8">
        <v>58726</v>
      </c>
      <c r="F260" s="8">
        <v>60329</v>
      </c>
      <c r="G260" s="8">
        <v>64011</v>
      </c>
      <c r="H260" s="8">
        <v>63848</v>
      </c>
      <c r="I260" s="8">
        <v>63833</v>
      </c>
      <c r="J260" s="8">
        <v>66677</v>
      </c>
      <c r="K260" s="8">
        <v>66531</v>
      </c>
      <c r="L260" s="8">
        <v>67767</v>
      </c>
      <c r="M260" s="8">
        <v>67319</v>
      </c>
      <c r="N260" s="8">
        <v>64718</v>
      </c>
      <c r="O260" s="8">
        <v>57880</v>
      </c>
      <c r="P260" s="8">
        <v>52570</v>
      </c>
      <c r="Q260" s="8">
        <v>45447</v>
      </c>
      <c r="R260" s="8">
        <v>36083</v>
      </c>
      <c r="S260" s="8">
        <v>25913</v>
      </c>
      <c r="T260" s="8">
        <v>25168</v>
      </c>
      <c r="U260" s="7">
        <f t="shared" si="16"/>
        <v>20.642971516203964</v>
      </c>
      <c r="V260" s="7">
        <f t="shared" si="17"/>
        <v>69.528201889898739</v>
      </c>
      <c r="W260" s="7">
        <f t="shared" si="18"/>
        <v>9.8288265938972952</v>
      </c>
      <c r="X260" s="7">
        <f>SUM(I260:L260)/D260*100</f>
        <v>29.860400081188963</v>
      </c>
      <c r="Y260" s="7">
        <f t="shared" si="19"/>
        <v>43.82652978478405</v>
      </c>
    </row>
    <row r="261" spans="1:25" x14ac:dyDescent="0.25">
      <c r="A261" s="57">
        <v>3574</v>
      </c>
      <c r="B261" t="s">
        <v>60</v>
      </c>
      <c r="C261" t="s">
        <v>339</v>
      </c>
      <c r="D261" s="8">
        <v>254569</v>
      </c>
      <c r="E261" s="8">
        <v>18870</v>
      </c>
      <c r="F261" s="8">
        <v>20260</v>
      </c>
      <c r="G261" s="8">
        <v>19024</v>
      </c>
      <c r="H261" s="8">
        <v>18691</v>
      </c>
      <c r="I261" s="8">
        <v>19434</v>
      </c>
      <c r="J261" s="8">
        <v>19506</v>
      </c>
      <c r="K261" s="8">
        <v>19101</v>
      </c>
      <c r="L261" s="8">
        <v>18450</v>
      </c>
      <c r="M261" s="8">
        <v>18223</v>
      </c>
      <c r="N261" s="8">
        <v>17845</v>
      </c>
      <c r="O261" s="8">
        <v>16594</v>
      </c>
      <c r="P261" s="8">
        <v>15030</v>
      </c>
      <c r="Q261" s="8">
        <v>12105</v>
      </c>
      <c r="R261" s="8">
        <v>9195</v>
      </c>
      <c r="S261" s="8">
        <v>6297</v>
      </c>
      <c r="T261" s="8">
        <v>5944</v>
      </c>
      <c r="U261" s="7">
        <f t="shared" si="16"/>
        <v>22.8441012063527</v>
      </c>
      <c r="V261" s="7">
        <f t="shared" si="17"/>
        <v>68.735391976242198</v>
      </c>
      <c r="W261" s="7">
        <f t="shared" si="18"/>
        <v>8.420506817405105</v>
      </c>
      <c r="X261" s="7">
        <f>SUM(I261:L261)/D261*100</f>
        <v>30.047256343073979</v>
      </c>
      <c r="Y261" s="7">
        <f t="shared" si="19"/>
        <v>45.485458254990597</v>
      </c>
    </row>
    <row r="262" spans="1:25" x14ac:dyDescent="0.25">
      <c r="A262" s="57">
        <v>3575</v>
      </c>
      <c r="B262" t="s">
        <v>60</v>
      </c>
      <c r="C262" t="s">
        <v>340</v>
      </c>
      <c r="D262" s="8">
        <v>225257</v>
      </c>
      <c r="E262" s="8">
        <v>17332</v>
      </c>
      <c r="F262" s="8">
        <v>18198</v>
      </c>
      <c r="G262" s="8">
        <v>17581</v>
      </c>
      <c r="H262" s="8">
        <v>16934</v>
      </c>
      <c r="I262" s="8">
        <v>17016</v>
      </c>
      <c r="J262" s="8">
        <v>17372</v>
      </c>
      <c r="K262" s="8">
        <v>17570</v>
      </c>
      <c r="L262" s="8">
        <v>17001</v>
      </c>
      <c r="M262" s="8">
        <v>16604</v>
      </c>
      <c r="N262" s="8">
        <v>15778</v>
      </c>
      <c r="O262" s="8">
        <v>13741</v>
      </c>
      <c r="P262" s="8">
        <v>12072</v>
      </c>
      <c r="Q262" s="8">
        <v>10487</v>
      </c>
      <c r="R262" s="8">
        <v>7925</v>
      </c>
      <c r="S262" s="8">
        <v>5396</v>
      </c>
      <c r="T262" s="8">
        <v>4250</v>
      </c>
      <c r="U262" s="7">
        <f t="shared" si="16"/>
        <v>23.577957621738722</v>
      </c>
      <c r="V262" s="7">
        <f t="shared" si="17"/>
        <v>68.621618862010948</v>
      </c>
      <c r="W262" s="7">
        <f t="shared" si="18"/>
        <v>7.8004235162503281</v>
      </c>
      <c r="X262" s="7">
        <f>SUM(I262:L262)/D262*100</f>
        <v>30.613477050657696</v>
      </c>
      <c r="Y262" s="7">
        <f t="shared" si="19"/>
        <v>45.72666990134239</v>
      </c>
    </row>
    <row r="263" spans="1:25" x14ac:dyDescent="0.25">
      <c r="A263" s="57">
        <v>3576</v>
      </c>
      <c r="B263" t="s">
        <v>60</v>
      </c>
      <c r="C263" t="s">
        <v>341</v>
      </c>
      <c r="D263" s="8">
        <v>139817</v>
      </c>
      <c r="E263" s="8">
        <v>9294</v>
      </c>
      <c r="F263" s="8">
        <v>10238</v>
      </c>
      <c r="G263" s="8">
        <v>10358</v>
      </c>
      <c r="H263" s="8">
        <v>10592</v>
      </c>
      <c r="I263" s="8">
        <v>10440</v>
      </c>
      <c r="J263" s="8">
        <v>9726</v>
      </c>
      <c r="K263" s="8">
        <v>10467</v>
      </c>
      <c r="L263" s="8">
        <v>10569</v>
      </c>
      <c r="M263" s="8">
        <v>10673</v>
      </c>
      <c r="N263" s="8">
        <v>10098</v>
      </c>
      <c r="O263" s="8">
        <v>9161</v>
      </c>
      <c r="P263" s="8">
        <v>8196</v>
      </c>
      <c r="Q263" s="8">
        <v>6999</v>
      </c>
      <c r="R263" s="8">
        <v>5588</v>
      </c>
      <c r="S263" s="8">
        <v>3989</v>
      </c>
      <c r="T263" s="8">
        <v>3429</v>
      </c>
      <c r="U263" s="7">
        <f t="shared" si="16"/>
        <v>21.377944026835078</v>
      </c>
      <c r="V263" s="7">
        <f t="shared" si="17"/>
        <v>69.319896722143952</v>
      </c>
      <c r="W263" s="7">
        <f t="shared" si="18"/>
        <v>9.3021592510209778</v>
      </c>
      <c r="X263" s="7">
        <f>SUM(I263:L263)/D263*100</f>
        <v>29.468519564859779</v>
      </c>
      <c r="Y263" s="7">
        <f t="shared" si="19"/>
        <v>44.258726179053042</v>
      </c>
    </row>
    <row r="264" spans="1:25" x14ac:dyDescent="0.25">
      <c r="A264" s="57">
        <v>3577</v>
      </c>
      <c r="B264" t="s">
        <v>60</v>
      </c>
      <c r="C264" t="s">
        <v>342</v>
      </c>
      <c r="D264" s="8">
        <v>205316</v>
      </c>
      <c r="E264" s="8">
        <v>13354</v>
      </c>
      <c r="F264" s="8">
        <v>13232</v>
      </c>
      <c r="G264" s="8">
        <v>12727</v>
      </c>
      <c r="H264" s="8">
        <v>13634</v>
      </c>
      <c r="I264" s="8">
        <v>15422</v>
      </c>
      <c r="J264" s="8">
        <v>15557</v>
      </c>
      <c r="K264" s="8">
        <v>14751</v>
      </c>
      <c r="L264" s="8">
        <v>13946</v>
      </c>
      <c r="M264" s="8">
        <v>14607</v>
      </c>
      <c r="N264" s="8">
        <v>15575</v>
      </c>
      <c r="O264" s="8">
        <v>14006</v>
      </c>
      <c r="P264" s="8">
        <v>12929</v>
      </c>
      <c r="Q264" s="8">
        <v>11341</v>
      </c>
      <c r="R264" s="8">
        <v>9358</v>
      </c>
      <c r="S264" s="8">
        <v>7329</v>
      </c>
      <c r="T264" s="8">
        <v>7548</v>
      </c>
      <c r="U264" s="7">
        <f t="shared" si="16"/>
        <v>19.147557910732722</v>
      </c>
      <c r="V264" s="7">
        <f t="shared" si="17"/>
        <v>69.048685928032882</v>
      </c>
      <c r="W264" s="7">
        <f t="shared" si="18"/>
        <v>11.803756161234389</v>
      </c>
      <c r="X264" s="7">
        <f>SUM(I264:L264)/D264*100</f>
        <v>29.065440589140639</v>
      </c>
      <c r="Y264" s="7">
        <f t="shared" si="19"/>
        <v>44.825348456633371</v>
      </c>
    </row>
    <row r="265" spans="1:25" x14ac:dyDescent="0.25">
      <c r="A265" s="57">
        <v>3578</v>
      </c>
      <c r="B265" t="s">
        <v>60</v>
      </c>
      <c r="C265" t="s">
        <v>343</v>
      </c>
      <c r="D265" s="8">
        <v>2940265</v>
      </c>
      <c r="E265" s="8">
        <v>181427</v>
      </c>
      <c r="F265" s="8">
        <v>198233</v>
      </c>
      <c r="G265" s="8">
        <v>218519</v>
      </c>
      <c r="H265" s="8">
        <v>222924</v>
      </c>
      <c r="I265" s="8">
        <v>218386</v>
      </c>
      <c r="J265" s="8">
        <v>211769</v>
      </c>
      <c r="K265" s="8">
        <v>218265</v>
      </c>
      <c r="L265" s="8">
        <v>219849</v>
      </c>
      <c r="M265" s="8">
        <v>225855</v>
      </c>
      <c r="N265" s="8">
        <v>225811</v>
      </c>
      <c r="O265" s="8">
        <v>206487</v>
      </c>
      <c r="P265" s="8">
        <v>178949</v>
      </c>
      <c r="Q265" s="8">
        <v>144977</v>
      </c>
      <c r="R265" s="8">
        <v>112866</v>
      </c>
      <c r="S265" s="8">
        <v>82219</v>
      </c>
      <c r="T265" s="8">
        <v>73729</v>
      </c>
      <c r="U265" s="7">
        <f t="shared" si="16"/>
        <v>20.3443907266862</v>
      </c>
      <c r="V265" s="7">
        <f t="shared" si="17"/>
        <v>70.513100009693005</v>
      </c>
      <c r="W265" s="7">
        <f t="shared" si="18"/>
        <v>9.1425092636207967</v>
      </c>
      <c r="X265" s="7">
        <f>SUM(I265:L265)/D265*100</f>
        <v>29.530297439176401</v>
      </c>
      <c r="Y265" s="7">
        <f t="shared" si="19"/>
        <v>41.817619685212556</v>
      </c>
    </row>
    <row r="266" spans="1:25" x14ac:dyDescent="0.25">
      <c r="A266" s="57">
        <v>3579</v>
      </c>
      <c r="B266" t="s">
        <v>60</v>
      </c>
      <c r="C266" t="s">
        <v>344</v>
      </c>
      <c r="D266" s="8">
        <v>227482</v>
      </c>
      <c r="E266" s="8">
        <v>15935</v>
      </c>
      <c r="F266" s="8">
        <v>16759</v>
      </c>
      <c r="G266" s="8">
        <v>15976</v>
      </c>
      <c r="H266" s="8">
        <v>15416</v>
      </c>
      <c r="I266" s="8">
        <v>15680</v>
      </c>
      <c r="J266" s="8">
        <v>16766</v>
      </c>
      <c r="K266" s="8">
        <v>17983</v>
      </c>
      <c r="L266" s="8">
        <v>17515</v>
      </c>
      <c r="M266" s="8">
        <v>17083</v>
      </c>
      <c r="N266" s="8">
        <v>16266</v>
      </c>
      <c r="O266" s="8">
        <v>14855</v>
      </c>
      <c r="P266" s="8">
        <v>13960</v>
      </c>
      <c r="Q266" s="8">
        <v>11860</v>
      </c>
      <c r="R266" s="8">
        <v>9238</v>
      </c>
      <c r="S266" s="8">
        <v>6221</v>
      </c>
      <c r="T266" s="8">
        <v>5969</v>
      </c>
      <c r="U266" s="7">
        <f t="shared" si="16"/>
        <v>21.395099392479406</v>
      </c>
      <c r="V266" s="7">
        <f t="shared" si="17"/>
        <v>69.185254217916153</v>
      </c>
      <c r="W266" s="7">
        <f t="shared" si="18"/>
        <v>9.419646389604452</v>
      </c>
      <c r="X266" s="7">
        <f>SUM(I266:L266)/D266*100</f>
        <v>29.867857676651337</v>
      </c>
      <c r="Y266" s="7">
        <f t="shared" si="19"/>
        <v>44.539470340059985</v>
      </c>
    </row>
    <row r="267" spans="1:25" x14ac:dyDescent="0.25">
      <c r="A267" s="57">
        <v>3601</v>
      </c>
      <c r="B267" t="s">
        <v>61</v>
      </c>
      <c r="C267" t="s">
        <v>345</v>
      </c>
      <c r="D267" s="8">
        <v>1350503</v>
      </c>
      <c r="E267" s="8">
        <v>110487</v>
      </c>
      <c r="F267" s="8">
        <v>107558</v>
      </c>
      <c r="G267" s="8">
        <v>113352</v>
      </c>
      <c r="H267" s="8">
        <v>115784</v>
      </c>
      <c r="I267" s="8">
        <v>115569</v>
      </c>
      <c r="J267" s="8">
        <v>117122</v>
      </c>
      <c r="K267" s="8">
        <v>106334</v>
      </c>
      <c r="L267" s="8">
        <v>99089</v>
      </c>
      <c r="M267" s="8">
        <v>93992</v>
      </c>
      <c r="N267" s="8">
        <v>85388</v>
      </c>
      <c r="O267" s="8">
        <v>76628</v>
      </c>
      <c r="P267" s="8">
        <v>64069</v>
      </c>
      <c r="Q267" s="8">
        <v>56335</v>
      </c>
      <c r="R267" s="8">
        <v>39863</v>
      </c>
      <c r="S267" s="8">
        <v>27091</v>
      </c>
      <c r="T267" s="8">
        <v>21842</v>
      </c>
      <c r="U267" s="7">
        <f t="shared" si="16"/>
        <v>24.538782957164848</v>
      </c>
      <c r="V267" s="7">
        <f t="shared" si="17"/>
        <v>68.88618536945124</v>
      </c>
      <c r="W267" s="7">
        <f t="shared" si="18"/>
        <v>6.5750316733839176</v>
      </c>
      <c r="X267" s="7">
        <f>SUM(I267:L267)/D267*100</f>
        <v>32.440801686482743</v>
      </c>
      <c r="Y267" s="7">
        <f t="shared" si="19"/>
        <v>45.166987348303259</v>
      </c>
    </row>
    <row r="268" spans="1:25" x14ac:dyDescent="0.25">
      <c r="A268" s="57">
        <v>3602</v>
      </c>
      <c r="B268" t="s">
        <v>61</v>
      </c>
      <c r="C268" t="s">
        <v>346</v>
      </c>
      <c r="D268" s="8">
        <v>1478091</v>
      </c>
      <c r="E268" s="8">
        <v>118915</v>
      </c>
      <c r="F268" s="8">
        <v>124729</v>
      </c>
      <c r="G268" s="8">
        <v>124131</v>
      </c>
      <c r="H268" s="8">
        <v>122474</v>
      </c>
      <c r="I268" s="8">
        <v>124753</v>
      </c>
      <c r="J268" s="8">
        <v>127841</v>
      </c>
      <c r="K268" s="8">
        <v>115513</v>
      </c>
      <c r="L268" s="8">
        <v>115217</v>
      </c>
      <c r="M268" s="8">
        <v>105769</v>
      </c>
      <c r="N268" s="8">
        <v>94513</v>
      </c>
      <c r="O268" s="8">
        <v>81029</v>
      </c>
      <c r="P268" s="8">
        <v>72155</v>
      </c>
      <c r="Q268" s="8">
        <v>57256</v>
      </c>
      <c r="R268" s="8">
        <v>43408</v>
      </c>
      <c r="S268" s="8">
        <v>26977</v>
      </c>
      <c r="T268" s="8">
        <v>23411</v>
      </c>
      <c r="U268" s="7">
        <f t="shared" si="16"/>
        <v>24.881756265344961</v>
      </c>
      <c r="V268" s="7">
        <f t="shared" si="17"/>
        <v>68.77249100359856</v>
      </c>
      <c r="W268" s="7">
        <f t="shared" si="18"/>
        <v>6.3457527310564785</v>
      </c>
      <c r="X268" s="7">
        <f>SUM(I268:L268)/D268*100</f>
        <v>32.699204582126541</v>
      </c>
      <c r="Y268" s="7">
        <f t="shared" si="19"/>
        <v>45.406976744186046</v>
      </c>
    </row>
    <row r="269" spans="1:25" x14ac:dyDescent="0.25">
      <c r="A269" s="57">
        <v>3603</v>
      </c>
      <c r="B269" t="s">
        <v>61</v>
      </c>
      <c r="C269" t="s">
        <v>347</v>
      </c>
      <c r="D269" s="8">
        <v>3468939</v>
      </c>
      <c r="E269" s="8">
        <v>258924</v>
      </c>
      <c r="F269" s="8">
        <v>277837</v>
      </c>
      <c r="G269" s="8">
        <v>290203</v>
      </c>
      <c r="H269" s="8">
        <v>269948</v>
      </c>
      <c r="I269" s="8">
        <v>263781</v>
      </c>
      <c r="J269" s="8">
        <v>275982</v>
      </c>
      <c r="K269" s="8">
        <v>295408</v>
      </c>
      <c r="L269" s="8">
        <v>295026</v>
      </c>
      <c r="M269" s="8">
        <v>277045</v>
      </c>
      <c r="N269" s="8">
        <v>259227</v>
      </c>
      <c r="O269" s="8">
        <v>226248</v>
      </c>
      <c r="P269" s="8">
        <v>178347</v>
      </c>
      <c r="Q269" s="8">
        <v>127951</v>
      </c>
      <c r="R269" s="8">
        <v>84291</v>
      </c>
      <c r="S269" s="8">
        <v>51806</v>
      </c>
      <c r="T269" s="8">
        <v>36915</v>
      </c>
      <c r="U269" s="7">
        <f t="shared" si="16"/>
        <v>23.839104694547814</v>
      </c>
      <c r="V269" s="7">
        <f t="shared" si="17"/>
        <v>71.173433721377052</v>
      </c>
      <c r="W269" s="7">
        <f t="shared" si="18"/>
        <v>4.9874615840751302</v>
      </c>
      <c r="X269" s="7">
        <f>SUM(I269:L269)/D269*100</f>
        <v>32.580480659936654</v>
      </c>
      <c r="Y269" s="7">
        <f t="shared" si="19"/>
        <v>40.501862522848661</v>
      </c>
    </row>
    <row r="270" spans="1:25" x14ac:dyDescent="0.25">
      <c r="A270" s="57">
        <v>3604</v>
      </c>
      <c r="B270" t="s">
        <v>61</v>
      </c>
      <c r="C270" t="s">
        <v>348</v>
      </c>
      <c r="D270" s="8">
        <v>1738298</v>
      </c>
      <c r="E270" s="8">
        <v>144569</v>
      </c>
      <c r="F270" s="8">
        <v>141494</v>
      </c>
      <c r="G270" s="8">
        <v>142217</v>
      </c>
      <c r="H270" s="8">
        <v>133480</v>
      </c>
      <c r="I270" s="8">
        <v>139348</v>
      </c>
      <c r="J270" s="8">
        <v>151696</v>
      </c>
      <c r="K270" s="8">
        <v>145441</v>
      </c>
      <c r="L270" s="8">
        <v>145956</v>
      </c>
      <c r="M270" s="8">
        <v>128720</v>
      </c>
      <c r="N270" s="8">
        <v>115868</v>
      </c>
      <c r="O270" s="8">
        <v>99471</v>
      </c>
      <c r="P270" s="8">
        <v>82711</v>
      </c>
      <c r="Q270" s="8">
        <v>64637</v>
      </c>
      <c r="R270" s="8">
        <v>46997</v>
      </c>
      <c r="S270" s="8">
        <v>30703</v>
      </c>
      <c r="T270" s="8">
        <v>24990</v>
      </c>
      <c r="U270" s="7">
        <f t="shared" si="16"/>
        <v>24.637892927449723</v>
      </c>
      <c r="V270" s="7">
        <f t="shared" si="17"/>
        <v>69.454604446418273</v>
      </c>
      <c r="W270" s="7">
        <f t="shared" si="18"/>
        <v>5.9075026261319978</v>
      </c>
      <c r="X270" s="7">
        <f>SUM(I270:L270)/D270*100</f>
        <v>33.506395336127639</v>
      </c>
      <c r="Y270" s="7">
        <f t="shared" si="19"/>
        <v>43.978935301757275</v>
      </c>
    </row>
    <row r="271" spans="1:25" x14ac:dyDescent="0.25">
      <c r="A271" s="57">
        <v>3671</v>
      </c>
      <c r="B271" t="s">
        <v>61</v>
      </c>
      <c r="C271" t="s">
        <v>349</v>
      </c>
      <c r="D271" s="8">
        <v>1979289</v>
      </c>
      <c r="E271" s="8">
        <v>137731</v>
      </c>
      <c r="F271" s="8">
        <v>161443</v>
      </c>
      <c r="G271" s="8">
        <v>156344</v>
      </c>
      <c r="H271" s="8">
        <v>149197</v>
      </c>
      <c r="I271" s="8">
        <v>142308</v>
      </c>
      <c r="J271" s="8">
        <v>142799</v>
      </c>
      <c r="K271" s="8">
        <v>154368</v>
      </c>
      <c r="L271" s="8">
        <v>157802</v>
      </c>
      <c r="M271" s="8">
        <v>162852</v>
      </c>
      <c r="N271" s="8">
        <v>155600</v>
      </c>
      <c r="O271" s="8">
        <v>134539</v>
      </c>
      <c r="P271" s="8">
        <v>108228</v>
      </c>
      <c r="Q271" s="8">
        <v>86678</v>
      </c>
      <c r="R271" s="8">
        <v>61906</v>
      </c>
      <c r="S271" s="8">
        <v>41435</v>
      </c>
      <c r="T271" s="8">
        <v>26059</v>
      </c>
      <c r="U271" s="7">
        <f t="shared" si="16"/>
        <v>23.014223794503984</v>
      </c>
      <c r="V271" s="7">
        <f t="shared" si="17"/>
        <v>70.448075041087989</v>
      </c>
      <c r="W271" s="7">
        <f t="shared" si="18"/>
        <v>6.537701164408027</v>
      </c>
      <c r="X271" s="7">
        <f>SUM(I271:L271)/D271*100</f>
        <v>30.17634110026378</v>
      </c>
      <c r="Y271" s="7">
        <f t="shared" si="19"/>
        <v>41.948520157117436</v>
      </c>
    </row>
    <row r="272" spans="1:25" x14ac:dyDescent="0.25">
      <c r="A272" s="57">
        <v>3672</v>
      </c>
      <c r="B272" t="s">
        <v>61</v>
      </c>
      <c r="C272" t="s">
        <v>350</v>
      </c>
      <c r="D272" s="8">
        <v>464999</v>
      </c>
      <c r="E272" s="8">
        <v>36711</v>
      </c>
      <c r="F272" s="8">
        <v>43685</v>
      </c>
      <c r="G272" s="8">
        <v>39270</v>
      </c>
      <c r="H272" s="8">
        <v>36428</v>
      </c>
      <c r="I272" s="8">
        <v>33412</v>
      </c>
      <c r="J272" s="8">
        <v>36634</v>
      </c>
      <c r="K272" s="8">
        <v>37544</v>
      </c>
      <c r="L272" s="8">
        <v>37331</v>
      </c>
      <c r="M272" s="8">
        <v>34928</v>
      </c>
      <c r="N272" s="8">
        <v>31657</v>
      </c>
      <c r="O272" s="8">
        <v>28798</v>
      </c>
      <c r="P272" s="8">
        <v>23725</v>
      </c>
      <c r="Q272" s="8">
        <v>18774</v>
      </c>
      <c r="R272" s="8">
        <v>12835</v>
      </c>
      <c r="S272" s="8">
        <v>8048</v>
      </c>
      <c r="T272" s="8">
        <v>5219</v>
      </c>
      <c r="U272" s="7">
        <f t="shared" si="16"/>
        <v>25.734678999309672</v>
      </c>
      <c r="V272" s="7">
        <f t="shared" si="17"/>
        <v>68.651975595646448</v>
      </c>
      <c r="W272" s="7">
        <f t="shared" si="18"/>
        <v>5.6133454050438818</v>
      </c>
      <c r="X272" s="7">
        <f>SUM(I272:L272)/D272*100</f>
        <v>31.165873474996719</v>
      </c>
      <c r="Y272" s="7">
        <f t="shared" si="19"/>
        <v>45.662232051398519</v>
      </c>
    </row>
    <row r="273" spans="1:25" x14ac:dyDescent="0.25">
      <c r="A273" s="57">
        <v>3673</v>
      </c>
      <c r="B273" t="s">
        <v>61</v>
      </c>
      <c r="C273" t="s">
        <v>351</v>
      </c>
      <c r="D273" s="8">
        <v>756145</v>
      </c>
      <c r="E273" s="8">
        <v>61353</v>
      </c>
      <c r="F273" s="8">
        <v>64689</v>
      </c>
      <c r="G273" s="8">
        <v>66665</v>
      </c>
      <c r="H273" s="8">
        <v>62727</v>
      </c>
      <c r="I273" s="8">
        <v>61772</v>
      </c>
      <c r="J273" s="8">
        <v>65547</v>
      </c>
      <c r="K273" s="8">
        <v>64481</v>
      </c>
      <c r="L273" s="8">
        <v>62333</v>
      </c>
      <c r="M273" s="8">
        <v>54577</v>
      </c>
      <c r="N273" s="8">
        <v>49519</v>
      </c>
      <c r="O273" s="8">
        <v>43611</v>
      </c>
      <c r="P273" s="8">
        <v>35467</v>
      </c>
      <c r="Q273" s="8">
        <v>26779</v>
      </c>
      <c r="R273" s="8">
        <v>17863</v>
      </c>
      <c r="S273" s="8">
        <v>11438</v>
      </c>
      <c r="T273" s="8">
        <v>7324</v>
      </c>
      <c r="U273" s="7">
        <f t="shared" si="16"/>
        <v>25.485455831884096</v>
      </c>
      <c r="V273" s="7">
        <f t="shared" si="17"/>
        <v>69.670896455044996</v>
      </c>
      <c r="W273" s="7">
        <f t="shared" si="18"/>
        <v>4.8436477130709061</v>
      </c>
      <c r="X273" s="7">
        <f>SUM(I273:L273)/D273*100</f>
        <v>33.609030014084603</v>
      </c>
      <c r="Y273" s="7">
        <f t="shared" si="19"/>
        <v>43.531955361769739</v>
      </c>
    </row>
    <row r="274" spans="1:25" x14ac:dyDescent="0.25">
      <c r="A274" s="57">
        <v>3674</v>
      </c>
      <c r="B274" t="s">
        <v>61</v>
      </c>
      <c r="C274" t="s">
        <v>352</v>
      </c>
      <c r="D274" s="8">
        <v>1405035</v>
      </c>
      <c r="E274" s="8">
        <v>91644</v>
      </c>
      <c r="F274" s="8">
        <v>99197</v>
      </c>
      <c r="G274" s="8">
        <v>108763</v>
      </c>
      <c r="H274" s="8">
        <v>109117</v>
      </c>
      <c r="I274" s="8">
        <v>103938</v>
      </c>
      <c r="J274" s="8">
        <v>103082</v>
      </c>
      <c r="K274" s="8">
        <v>105630</v>
      </c>
      <c r="L274" s="8">
        <v>107093</v>
      </c>
      <c r="M274" s="8">
        <v>110813</v>
      </c>
      <c r="N274" s="8">
        <v>107520</v>
      </c>
      <c r="O274" s="8">
        <v>99572</v>
      </c>
      <c r="P274" s="8">
        <v>84243</v>
      </c>
      <c r="Q274" s="8">
        <v>69862</v>
      </c>
      <c r="R274" s="8">
        <v>49433</v>
      </c>
      <c r="S274" s="8">
        <v>33120</v>
      </c>
      <c r="T274" s="8">
        <v>22008</v>
      </c>
      <c r="U274" s="7">
        <f t="shared" si="16"/>
        <v>21.32359692107314</v>
      </c>
      <c r="V274" s="7">
        <f t="shared" si="17"/>
        <v>71.234524406865305</v>
      </c>
      <c r="W274" s="7">
        <f t="shared" si="18"/>
        <v>7.4418786720615495</v>
      </c>
      <c r="X274" s="7">
        <f>SUM(I274:L274)/D274*100</f>
        <v>29.874202422003719</v>
      </c>
      <c r="Y274" s="7">
        <f t="shared" si="19"/>
        <v>40.381368209657595</v>
      </c>
    </row>
    <row r="275" spans="1:25" x14ac:dyDescent="0.25">
      <c r="A275" s="57">
        <v>5101</v>
      </c>
      <c r="B275" t="s">
        <v>62</v>
      </c>
      <c r="C275" t="s">
        <v>353</v>
      </c>
      <c r="D275" s="8">
        <v>329703</v>
      </c>
      <c r="E275" s="8">
        <v>24261</v>
      </c>
      <c r="F275" s="8">
        <v>23451</v>
      </c>
      <c r="G275" s="8">
        <v>22844</v>
      </c>
      <c r="H275" s="8">
        <v>23559</v>
      </c>
      <c r="I275" s="8">
        <v>23973</v>
      </c>
      <c r="J275" s="8">
        <v>23332</v>
      </c>
      <c r="K275" s="8">
        <v>23628</v>
      </c>
      <c r="L275" s="8">
        <v>23689</v>
      </c>
      <c r="M275" s="8">
        <v>23369</v>
      </c>
      <c r="N275" s="8">
        <v>23399</v>
      </c>
      <c r="O275" s="8">
        <v>21925</v>
      </c>
      <c r="P275" s="8">
        <v>19816</v>
      </c>
      <c r="Q275" s="8">
        <v>18608</v>
      </c>
      <c r="R275" s="8">
        <v>14304</v>
      </c>
      <c r="S275" s="8">
        <v>9491</v>
      </c>
      <c r="T275" s="8">
        <v>10054</v>
      </c>
      <c r="U275" s="7">
        <f t="shared" si="16"/>
        <v>21.399865939952019</v>
      </c>
      <c r="V275" s="7">
        <f t="shared" si="17"/>
        <v>68.333621471445511</v>
      </c>
      <c r="W275" s="7">
        <f t="shared" si="18"/>
        <v>10.266512588602469</v>
      </c>
      <c r="X275" s="7">
        <f>SUM(I275:L275)/D275*100</f>
        <v>28.699162579655024</v>
      </c>
      <c r="Y275" s="7">
        <f t="shared" si="19"/>
        <v>46.340846345728771</v>
      </c>
    </row>
    <row r="276" spans="1:25" x14ac:dyDescent="0.25">
      <c r="A276" s="57">
        <v>5102</v>
      </c>
      <c r="B276" t="s">
        <v>62</v>
      </c>
      <c r="C276" t="s">
        <v>354</v>
      </c>
      <c r="D276" s="8">
        <v>470510</v>
      </c>
      <c r="E276" s="8">
        <v>28774</v>
      </c>
      <c r="F276" s="8">
        <v>28497</v>
      </c>
      <c r="G276" s="8">
        <v>26053</v>
      </c>
      <c r="H276" s="8">
        <v>28285</v>
      </c>
      <c r="I276" s="8">
        <v>31457</v>
      </c>
      <c r="J276" s="8">
        <v>33929</v>
      </c>
      <c r="K276" s="8">
        <v>32656</v>
      </c>
      <c r="L276" s="8">
        <v>31100</v>
      </c>
      <c r="M276" s="8">
        <v>30592</v>
      </c>
      <c r="N276" s="8">
        <v>31152</v>
      </c>
      <c r="O276" s="8">
        <v>34388</v>
      </c>
      <c r="P276" s="8">
        <v>36306</v>
      </c>
      <c r="Q276" s="8">
        <v>32089</v>
      </c>
      <c r="R276" s="8">
        <v>25528</v>
      </c>
      <c r="S276" s="8">
        <v>18393</v>
      </c>
      <c r="T276" s="8">
        <v>21311</v>
      </c>
      <c r="U276" s="7">
        <f t="shared" si="16"/>
        <v>17.709294170155786</v>
      </c>
      <c r="V276" s="7">
        <f t="shared" si="17"/>
        <v>68.426600922403352</v>
      </c>
      <c r="W276" s="7">
        <f t="shared" si="18"/>
        <v>13.864104907440861</v>
      </c>
      <c r="X276" s="7">
        <f>SUM(I276:L276)/D276*100</f>
        <v>27.44723810333468</v>
      </c>
      <c r="Y276" s="7">
        <f t="shared" si="19"/>
        <v>46.141995440342413</v>
      </c>
    </row>
    <row r="277" spans="1:25" x14ac:dyDescent="0.25">
      <c r="A277" s="57">
        <v>5103</v>
      </c>
      <c r="B277" t="s">
        <v>62</v>
      </c>
      <c r="C277" t="s">
        <v>355</v>
      </c>
      <c r="D277" s="8">
        <v>578791</v>
      </c>
      <c r="E277" s="8">
        <v>40093</v>
      </c>
      <c r="F277" s="8">
        <v>37214</v>
      </c>
      <c r="G277" s="8">
        <v>34959</v>
      </c>
      <c r="H277" s="8">
        <v>40548</v>
      </c>
      <c r="I277" s="8">
        <v>45019</v>
      </c>
      <c r="J277" s="8">
        <v>47015</v>
      </c>
      <c r="K277" s="8">
        <v>43454</v>
      </c>
      <c r="L277" s="8">
        <v>40109</v>
      </c>
      <c r="M277" s="8">
        <v>39682</v>
      </c>
      <c r="N277" s="8">
        <v>43081</v>
      </c>
      <c r="O277" s="8">
        <v>43787</v>
      </c>
      <c r="P277" s="8">
        <v>40078</v>
      </c>
      <c r="Q277" s="8">
        <v>31001</v>
      </c>
      <c r="R277" s="8">
        <v>21302</v>
      </c>
      <c r="S277" s="8">
        <v>14562</v>
      </c>
      <c r="T277" s="8">
        <v>16887</v>
      </c>
      <c r="U277" s="7">
        <f t="shared" si="16"/>
        <v>19.396638855821877</v>
      </c>
      <c r="V277" s="7">
        <f t="shared" si="17"/>
        <v>71.489363172544145</v>
      </c>
      <c r="W277" s="7">
        <f t="shared" si="18"/>
        <v>9.1139979716339745</v>
      </c>
      <c r="X277" s="7">
        <f>SUM(I277:L277)/D277*100</f>
        <v>30.338585085117082</v>
      </c>
      <c r="Y277" s="7">
        <f t="shared" si="19"/>
        <v>39.880949503835424</v>
      </c>
    </row>
    <row r="278" spans="1:25" x14ac:dyDescent="0.25">
      <c r="A278" s="57">
        <v>5104</v>
      </c>
      <c r="B278" t="s">
        <v>62</v>
      </c>
      <c r="C278" t="s">
        <v>356</v>
      </c>
      <c r="D278" s="8">
        <v>533046</v>
      </c>
      <c r="E278" s="8">
        <v>36270</v>
      </c>
      <c r="F278" s="8">
        <v>34609</v>
      </c>
      <c r="G278" s="8">
        <v>31736</v>
      </c>
      <c r="H278" s="8">
        <v>35622</v>
      </c>
      <c r="I278" s="8">
        <v>38657</v>
      </c>
      <c r="J278" s="8">
        <v>39509</v>
      </c>
      <c r="K278" s="8">
        <v>39823</v>
      </c>
      <c r="L278" s="8">
        <v>36269</v>
      </c>
      <c r="M278" s="8">
        <v>36007</v>
      </c>
      <c r="N278" s="8">
        <v>40066</v>
      </c>
      <c r="O278" s="8">
        <v>40433</v>
      </c>
      <c r="P278" s="8">
        <v>35773</v>
      </c>
      <c r="Q278" s="8">
        <v>28946</v>
      </c>
      <c r="R278" s="8">
        <v>22282</v>
      </c>
      <c r="S278" s="8">
        <v>16663</v>
      </c>
      <c r="T278" s="8">
        <v>20381</v>
      </c>
      <c r="U278" s="7">
        <f t="shared" si="16"/>
        <v>19.250683805900429</v>
      </c>
      <c r="V278" s="7">
        <f t="shared" si="17"/>
        <v>69.619695110740906</v>
      </c>
      <c r="W278" s="7">
        <f t="shared" si="18"/>
        <v>11.129621083358659</v>
      </c>
      <c r="X278" s="7">
        <f>SUM(I278:L278)/D278*100</f>
        <v>28.93896586786131</v>
      </c>
      <c r="Y278" s="7">
        <f t="shared" si="19"/>
        <v>43.63751498901928</v>
      </c>
    </row>
    <row r="279" spans="1:25" x14ac:dyDescent="0.25">
      <c r="A279" s="57">
        <v>5105</v>
      </c>
      <c r="B279" t="s">
        <v>62</v>
      </c>
      <c r="C279" t="s">
        <v>357</v>
      </c>
      <c r="D279" s="8">
        <v>210360</v>
      </c>
      <c r="E279" s="8">
        <v>15141</v>
      </c>
      <c r="F279" s="8">
        <v>14807</v>
      </c>
      <c r="G279" s="8">
        <v>13839</v>
      </c>
      <c r="H279" s="8">
        <v>14960</v>
      </c>
      <c r="I279" s="8">
        <v>15288</v>
      </c>
      <c r="J279" s="8">
        <v>14877</v>
      </c>
      <c r="K279" s="8">
        <v>14952</v>
      </c>
      <c r="L279" s="8">
        <v>14397</v>
      </c>
      <c r="M279" s="8">
        <v>14842</v>
      </c>
      <c r="N279" s="8">
        <v>15395</v>
      </c>
      <c r="O279" s="8">
        <v>13738</v>
      </c>
      <c r="P279" s="8">
        <v>12359</v>
      </c>
      <c r="Q279" s="8">
        <v>11394</v>
      </c>
      <c r="R279" s="8">
        <v>9014</v>
      </c>
      <c r="S279" s="8">
        <v>6993</v>
      </c>
      <c r="T279" s="8">
        <v>8364</v>
      </c>
      <c r="U279" s="7">
        <f t="shared" si="16"/>
        <v>20.815269062559423</v>
      </c>
      <c r="V279" s="7">
        <f t="shared" si="17"/>
        <v>67.599353489256515</v>
      </c>
      <c r="W279" s="7">
        <f t="shared" si="18"/>
        <v>11.585377448184065</v>
      </c>
      <c r="X279" s="7">
        <f>SUM(I279:L279)/D279*100</f>
        <v>28.291500285225329</v>
      </c>
      <c r="Y279" s="7">
        <f t="shared" si="19"/>
        <v>47.93040885500907</v>
      </c>
    </row>
    <row r="280" spans="1:25" x14ac:dyDescent="0.25">
      <c r="A280" s="57">
        <v>5106</v>
      </c>
      <c r="B280" t="s">
        <v>62</v>
      </c>
      <c r="C280" t="s">
        <v>358</v>
      </c>
      <c r="D280" s="8">
        <v>263972</v>
      </c>
      <c r="E280" s="8">
        <v>19684</v>
      </c>
      <c r="F280" s="8">
        <v>16769</v>
      </c>
      <c r="G280" s="8">
        <v>17600</v>
      </c>
      <c r="H280" s="8">
        <v>19027</v>
      </c>
      <c r="I280" s="8">
        <v>19491</v>
      </c>
      <c r="J280" s="8">
        <v>18844</v>
      </c>
      <c r="K280" s="8">
        <v>18994</v>
      </c>
      <c r="L280" s="8">
        <v>19534</v>
      </c>
      <c r="M280" s="8">
        <v>19556</v>
      </c>
      <c r="N280" s="8">
        <v>19685</v>
      </c>
      <c r="O280" s="8">
        <v>18016</v>
      </c>
      <c r="P280" s="8">
        <v>14426</v>
      </c>
      <c r="Q280" s="8">
        <v>12774</v>
      </c>
      <c r="R280" s="8">
        <v>11211</v>
      </c>
      <c r="S280" s="8">
        <v>8204</v>
      </c>
      <c r="T280" s="8">
        <v>10157</v>
      </c>
      <c r="U280" s="7">
        <f t="shared" si="16"/>
        <v>20.476792993196248</v>
      </c>
      <c r="V280" s="7">
        <f t="shared" si="17"/>
        <v>68.320503689785284</v>
      </c>
      <c r="W280" s="7">
        <f t="shared" si="18"/>
        <v>11.202703317018472</v>
      </c>
      <c r="X280" s="7">
        <f>SUM(I280:L280)/D280*100</f>
        <v>29.117860985256012</v>
      </c>
      <c r="Y280" s="7">
        <f t="shared" si="19"/>
        <v>46.368944312907892</v>
      </c>
    </row>
    <row r="281" spans="1:25" x14ac:dyDescent="0.25">
      <c r="A281" s="57">
        <v>5107</v>
      </c>
      <c r="B281" t="s">
        <v>62</v>
      </c>
      <c r="C281" t="s">
        <v>359</v>
      </c>
      <c r="D281" s="8">
        <v>506755</v>
      </c>
      <c r="E281" s="8">
        <v>40656</v>
      </c>
      <c r="F281" s="8">
        <v>37296</v>
      </c>
      <c r="G281" s="8">
        <v>38331</v>
      </c>
      <c r="H281" s="8">
        <v>40803</v>
      </c>
      <c r="I281" s="8">
        <v>36820</v>
      </c>
      <c r="J281" s="8">
        <v>33665</v>
      </c>
      <c r="K281" s="8">
        <v>35718</v>
      </c>
      <c r="L281" s="8">
        <v>39481</v>
      </c>
      <c r="M281" s="8">
        <v>38522</v>
      </c>
      <c r="N281" s="8">
        <v>36077</v>
      </c>
      <c r="O281" s="8">
        <v>31132</v>
      </c>
      <c r="P281" s="8">
        <v>24476</v>
      </c>
      <c r="Q281" s="8">
        <v>22298</v>
      </c>
      <c r="R281" s="8">
        <v>19022</v>
      </c>
      <c r="S281" s="8">
        <v>14729</v>
      </c>
      <c r="T281" s="8">
        <v>17729</v>
      </c>
      <c r="U281" s="7">
        <f t="shared" si="16"/>
        <v>22.946591548184035</v>
      </c>
      <c r="V281" s="7">
        <f t="shared" si="17"/>
        <v>66.894653234797886</v>
      </c>
      <c r="W281" s="7">
        <f t="shared" si="18"/>
        <v>10.158755217018085</v>
      </c>
      <c r="X281" s="7">
        <f>SUM(I281:L281)/D281*100</f>
        <v>28.748408994484514</v>
      </c>
      <c r="Y281" s="7">
        <f t="shared" si="19"/>
        <v>49.488778496247697</v>
      </c>
    </row>
    <row r="282" spans="1:25" x14ac:dyDescent="0.25">
      <c r="A282" s="57">
        <v>5108</v>
      </c>
      <c r="B282" t="s">
        <v>62</v>
      </c>
      <c r="C282" t="s">
        <v>360</v>
      </c>
      <c r="D282" s="8">
        <v>825944</v>
      </c>
      <c r="E282" s="8">
        <v>65849</v>
      </c>
      <c r="F282" s="8">
        <v>58439</v>
      </c>
      <c r="G282" s="8">
        <v>59693</v>
      </c>
      <c r="H282" s="8">
        <v>62441</v>
      </c>
      <c r="I282" s="8">
        <v>63890</v>
      </c>
      <c r="J282" s="8">
        <v>61063</v>
      </c>
      <c r="K282" s="8">
        <v>61459</v>
      </c>
      <c r="L282" s="8">
        <v>62698</v>
      </c>
      <c r="M282" s="8">
        <v>60069</v>
      </c>
      <c r="N282" s="8">
        <v>56813</v>
      </c>
      <c r="O282" s="8">
        <v>48127</v>
      </c>
      <c r="P282" s="8">
        <v>45220</v>
      </c>
      <c r="Q282" s="8">
        <v>40255</v>
      </c>
      <c r="R282" s="8">
        <v>32325</v>
      </c>
      <c r="S282" s="8">
        <v>22921</v>
      </c>
      <c r="T282" s="8">
        <v>24682</v>
      </c>
      <c r="U282" s="7">
        <f t="shared" si="16"/>
        <v>22.275238999254189</v>
      </c>
      <c r="V282" s="7">
        <f t="shared" si="17"/>
        <v>68.047591604273421</v>
      </c>
      <c r="W282" s="7">
        <f t="shared" si="18"/>
        <v>9.6771693964724008</v>
      </c>
      <c r="X282" s="7">
        <f>SUM(I282:L282)/D282*100</f>
        <v>30.160640430828238</v>
      </c>
      <c r="Y282" s="7">
        <f t="shared" si="19"/>
        <v>46.955972492816286</v>
      </c>
    </row>
    <row r="283" spans="1:25" x14ac:dyDescent="0.25">
      <c r="A283" s="57">
        <v>5171</v>
      </c>
      <c r="B283" t="s">
        <v>62</v>
      </c>
      <c r="C283" t="s">
        <v>361</v>
      </c>
      <c r="D283" s="8">
        <v>769162</v>
      </c>
      <c r="E283" s="8">
        <v>52396</v>
      </c>
      <c r="F283" s="8">
        <v>50468</v>
      </c>
      <c r="G283" s="8">
        <v>50762</v>
      </c>
      <c r="H283" s="8">
        <v>56112</v>
      </c>
      <c r="I283" s="8">
        <v>56480</v>
      </c>
      <c r="J283" s="8">
        <v>59243</v>
      </c>
      <c r="K283" s="8">
        <v>59256</v>
      </c>
      <c r="L283" s="8">
        <v>58045</v>
      </c>
      <c r="M283" s="8">
        <v>57405</v>
      </c>
      <c r="N283" s="8">
        <v>59437</v>
      </c>
      <c r="O283" s="8">
        <v>56435</v>
      </c>
      <c r="P283" s="8">
        <v>51499</v>
      </c>
      <c r="Q283" s="8">
        <v>40420</v>
      </c>
      <c r="R283" s="8">
        <v>27191</v>
      </c>
      <c r="S283" s="8">
        <v>18129</v>
      </c>
      <c r="T283" s="8">
        <v>15884</v>
      </c>
      <c r="U283" s="7">
        <f t="shared" si="16"/>
        <v>19.97316560100473</v>
      </c>
      <c r="V283" s="7">
        <f t="shared" si="17"/>
        <v>72.069603022510208</v>
      </c>
      <c r="W283" s="7">
        <f t="shared" si="18"/>
        <v>7.9572313764850575</v>
      </c>
      <c r="X283" s="7">
        <f>SUM(I283:L283)/D283*100</f>
        <v>30.295828447063165</v>
      </c>
      <c r="Y283" s="7">
        <f t="shared" si="19"/>
        <v>38.754753469040217</v>
      </c>
    </row>
    <row r="284" spans="1:25" x14ac:dyDescent="0.25">
      <c r="A284" s="57">
        <v>5201</v>
      </c>
      <c r="B284" t="s">
        <v>63</v>
      </c>
      <c r="C284" t="s">
        <v>362</v>
      </c>
      <c r="D284" s="8">
        <v>787339</v>
      </c>
      <c r="E284" s="8">
        <v>68380</v>
      </c>
      <c r="F284" s="8">
        <v>69046</v>
      </c>
      <c r="G284" s="8">
        <v>72030</v>
      </c>
      <c r="H284" s="8">
        <v>59429</v>
      </c>
      <c r="I284" s="8">
        <v>55652</v>
      </c>
      <c r="J284" s="8">
        <v>60378</v>
      </c>
      <c r="K284" s="8">
        <v>65096</v>
      </c>
      <c r="L284" s="8">
        <v>64658</v>
      </c>
      <c r="M284" s="8">
        <v>59614</v>
      </c>
      <c r="N284" s="8">
        <v>55534</v>
      </c>
      <c r="O284" s="8">
        <v>46823</v>
      </c>
      <c r="P284" s="8">
        <v>37620</v>
      </c>
      <c r="Q284" s="8">
        <v>27820</v>
      </c>
      <c r="R284" s="8">
        <v>19772</v>
      </c>
      <c r="S284" s="8">
        <v>12775</v>
      </c>
      <c r="T284" s="8">
        <v>12712</v>
      </c>
      <c r="U284" s="7">
        <f t="shared" si="16"/>
        <v>26.603026142487547</v>
      </c>
      <c r="V284" s="7">
        <f t="shared" si="17"/>
        <v>67.648624036152142</v>
      </c>
      <c r="W284" s="7">
        <f t="shared" si="18"/>
        <v>5.7483498213603035</v>
      </c>
      <c r="X284" s="7">
        <f>SUM(I284:L284)/D284*100</f>
        <v>31.217048818869635</v>
      </c>
      <c r="Y284" s="7">
        <f t="shared" si="19"/>
        <v>47.82266664664003</v>
      </c>
    </row>
    <row r="285" spans="1:25" x14ac:dyDescent="0.25">
      <c r="A285" s="57">
        <v>5202</v>
      </c>
      <c r="B285" t="s">
        <v>63</v>
      </c>
      <c r="C285" t="s">
        <v>363</v>
      </c>
      <c r="D285" s="8">
        <v>1149627</v>
      </c>
      <c r="E285" s="8">
        <v>98284</v>
      </c>
      <c r="F285" s="8">
        <v>88384</v>
      </c>
      <c r="G285" s="8">
        <v>104061</v>
      </c>
      <c r="H285" s="8">
        <v>87729</v>
      </c>
      <c r="I285" s="8">
        <v>81503</v>
      </c>
      <c r="J285" s="8">
        <v>90450</v>
      </c>
      <c r="K285" s="8">
        <v>93699</v>
      </c>
      <c r="L285" s="8">
        <v>92997</v>
      </c>
      <c r="M285" s="8">
        <v>87284</v>
      </c>
      <c r="N285" s="8">
        <v>82976</v>
      </c>
      <c r="O285" s="8">
        <v>69116</v>
      </c>
      <c r="P285" s="8">
        <v>58186</v>
      </c>
      <c r="Q285" s="8">
        <v>42745</v>
      </c>
      <c r="R285" s="8">
        <v>32406</v>
      </c>
      <c r="S285" s="8">
        <v>20431</v>
      </c>
      <c r="T285" s="8">
        <v>19376</v>
      </c>
      <c r="U285" s="7">
        <f t="shared" si="16"/>
        <v>25.288985036016033</v>
      </c>
      <c r="V285" s="7">
        <f t="shared" si="17"/>
        <v>68.429586291901629</v>
      </c>
      <c r="W285" s="7">
        <f t="shared" si="18"/>
        <v>6.2814286720823356</v>
      </c>
      <c r="X285" s="7">
        <f>SUM(I285:L285)/D285*100</f>
        <v>31.196988240533667</v>
      </c>
      <c r="Y285" s="7">
        <f t="shared" si="19"/>
        <v>46.135619720726844</v>
      </c>
    </row>
    <row r="286" spans="1:25" x14ac:dyDescent="0.25">
      <c r="A286" s="57">
        <v>5203</v>
      </c>
      <c r="B286" t="s">
        <v>63</v>
      </c>
      <c r="C286" t="s">
        <v>364</v>
      </c>
      <c r="D286" s="8">
        <v>1460017</v>
      </c>
      <c r="E286" s="8">
        <v>128746</v>
      </c>
      <c r="F286" s="8">
        <v>141601</v>
      </c>
      <c r="G286" s="8">
        <v>134890</v>
      </c>
      <c r="H286" s="8">
        <v>115341</v>
      </c>
      <c r="I286" s="8">
        <v>110480</v>
      </c>
      <c r="J286" s="8">
        <v>109591</v>
      </c>
      <c r="K286" s="8">
        <v>111568</v>
      </c>
      <c r="L286" s="8">
        <v>113486</v>
      </c>
      <c r="M286" s="8">
        <v>109571</v>
      </c>
      <c r="N286" s="8">
        <v>99671</v>
      </c>
      <c r="O286" s="8">
        <v>84906</v>
      </c>
      <c r="P286" s="8">
        <v>65438</v>
      </c>
      <c r="Q286" s="8">
        <v>51263</v>
      </c>
      <c r="R286" s="8">
        <v>35919</v>
      </c>
      <c r="S286" s="8">
        <v>25214</v>
      </c>
      <c r="T286" s="8">
        <v>22332</v>
      </c>
      <c r="U286" s="7">
        <f t="shared" si="16"/>
        <v>27.75563572204981</v>
      </c>
      <c r="V286" s="7">
        <f t="shared" si="17"/>
        <v>66.527650020513462</v>
      </c>
      <c r="W286" s="7">
        <f t="shared" si="18"/>
        <v>5.7167142574367285</v>
      </c>
      <c r="X286" s="7">
        <f>SUM(I286:L286)/D286*100</f>
        <v>30.48765870534384</v>
      </c>
      <c r="Y286" s="7">
        <f t="shared" si="19"/>
        <v>50.313441056711774</v>
      </c>
    </row>
    <row r="287" spans="1:25" x14ac:dyDescent="0.25">
      <c r="A287" s="57">
        <v>5204</v>
      </c>
      <c r="B287" t="s">
        <v>63</v>
      </c>
      <c r="C287" t="s">
        <v>365</v>
      </c>
      <c r="D287" s="8">
        <v>550684</v>
      </c>
      <c r="E287" s="8">
        <v>49423</v>
      </c>
      <c r="F287" s="8">
        <v>41065</v>
      </c>
      <c r="G287" s="8">
        <v>46010</v>
      </c>
      <c r="H287" s="8">
        <v>42129</v>
      </c>
      <c r="I287" s="8">
        <v>42532</v>
      </c>
      <c r="J287" s="8">
        <v>43685</v>
      </c>
      <c r="K287" s="8">
        <v>41610</v>
      </c>
      <c r="L287" s="8">
        <v>40467</v>
      </c>
      <c r="M287" s="8">
        <v>39914</v>
      </c>
      <c r="N287" s="8">
        <v>36951</v>
      </c>
      <c r="O287" s="8">
        <v>33909</v>
      </c>
      <c r="P287" s="8">
        <v>27728</v>
      </c>
      <c r="Q287" s="8">
        <v>24148</v>
      </c>
      <c r="R287" s="8">
        <v>17311</v>
      </c>
      <c r="S287" s="8">
        <v>12182</v>
      </c>
      <c r="T287" s="8">
        <v>11620</v>
      </c>
      <c r="U287" s="7">
        <f t="shared" si="16"/>
        <v>24.786992177001693</v>
      </c>
      <c r="V287" s="7">
        <f t="shared" si="17"/>
        <v>67.747201661933161</v>
      </c>
      <c r="W287" s="7">
        <f t="shared" si="18"/>
        <v>7.4658061610651485</v>
      </c>
      <c r="X287" s="7">
        <f>SUM(I287:L287)/D287*100</f>
        <v>30.560902441327514</v>
      </c>
      <c r="Y287" s="7">
        <f t="shared" si="19"/>
        <v>47.607572780662224</v>
      </c>
    </row>
    <row r="288" spans="1:25" x14ac:dyDescent="0.25">
      <c r="A288" s="57">
        <v>5205</v>
      </c>
      <c r="B288" t="s">
        <v>63</v>
      </c>
      <c r="C288" t="s">
        <v>366</v>
      </c>
      <c r="D288" s="8">
        <v>258349</v>
      </c>
      <c r="E288" s="8">
        <v>25553</v>
      </c>
      <c r="F288" s="8">
        <v>21815</v>
      </c>
      <c r="G288" s="8">
        <v>22524</v>
      </c>
      <c r="H288" s="8">
        <v>22545</v>
      </c>
      <c r="I288" s="8">
        <v>19200</v>
      </c>
      <c r="J288" s="8">
        <v>21054</v>
      </c>
      <c r="K288" s="8">
        <v>20203</v>
      </c>
      <c r="L288" s="8">
        <v>18526</v>
      </c>
      <c r="M288" s="8">
        <v>18018</v>
      </c>
      <c r="N288" s="8">
        <v>16017</v>
      </c>
      <c r="O288" s="8">
        <v>14694</v>
      </c>
      <c r="P288" s="8">
        <v>11889</v>
      </c>
      <c r="Q288" s="8">
        <v>9611</v>
      </c>
      <c r="R288" s="8">
        <v>7454</v>
      </c>
      <c r="S288" s="8">
        <v>4722</v>
      </c>
      <c r="T288" s="8">
        <v>4524</v>
      </c>
      <c r="U288" s="7">
        <f t="shared" si="16"/>
        <v>27.053327088550759</v>
      </c>
      <c r="V288" s="7">
        <f t="shared" si="17"/>
        <v>66.482548800266301</v>
      </c>
      <c r="W288" s="7">
        <f t="shared" si="18"/>
        <v>6.4641241111829357</v>
      </c>
      <c r="X288" s="7">
        <f>SUM(I288:L288)/D288*100</f>
        <v>30.572210459494713</v>
      </c>
      <c r="Y288" s="7">
        <f t="shared" si="19"/>
        <v>50.415412472271868</v>
      </c>
    </row>
    <row r="289" spans="1:25" x14ac:dyDescent="0.25">
      <c r="A289" s="57">
        <v>5206</v>
      </c>
      <c r="B289" t="s">
        <v>63</v>
      </c>
      <c r="C289" t="s">
        <v>367</v>
      </c>
      <c r="D289" s="8">
        <v>559349</v>
      </c>
      <c r="E289" s="8">
        <v>54814</v>
      </c>
      <c r="F289" s="8">
        <v>45130</v>
      </c>
      <c r="G289" s="8">
        <v>43765</v>
      </c>
      <c r="H289" s="8">
        <v>47077</v>
      </c>
      <c r="I289" s="8">
        <v>49577</v>
      </c>
      <c r="J289" s="8">
        <v>49480</v>
      </c>
      <c r="K289" s="8">
        <v>43732</v>
      </c>
      <c r="L289" s="8">
        <v>40026</v>
      </c>
      <c r="M289" s="8">
        <v>35829</v>
      </c>
      <c r="N289" s="8">
        <v>32584</v>
      </c>
      <c r="O289" s="8">
        <v>30447</v>
      </c>
      <c r="P289" s="8">
        <v>25419</v>
      </c>
      <c r="Q289" s="8">
        <v>20685</v>
      </c>
      <c r="R289" s="8">
        <v>16882</v>
      </c>
      <c r="S289" s="8">
        <v>11851</v>
      </c>
      <c r="T289" s="8">
        <v>12051</v>
      </c>
      <c r="U289" s="7">
        <f t="shared" si="16"/>
        <v>25.69218859781639</v>
      </c>
      <c r="V289" s="7">
        <f t="shared" si="17"/>
        <v>67.01647808434447</v>
      </c>
      <c r="W289" s="7">
        <f t="shared" si="18"/>
        <v>7.2913333178391309</v>
      </c>
      <c r="X289" s="7">
        <f>SUM(I289:L289)/D289*100</f>
        <v>32.683530318280717</v>
      </c>
      <c r="Y289" s="7">
        <f t="shared" si="19"/>
        <v>49.217032673880098</v>
      </c>
    </row>
    <row r="290" spans="1:25" x14ac:dyDescent="0.25">
      <c r="A290" s="57">
        <v>5207</v>
      </c>
      <c r="B290" t="s">
        <v>63</v>
      </c>
      <c r="C290" t="s">
        <v>368</v>
      </c>
      <c r="D290" s="8">
        <v>160732</v>
      </c>
      <c r="E290" s="8">
        <v>14524</v>
      </c>
      <c r="F290" s="8">
        <v>15040</v>
      </c>
      <c r="G290" s="8">
        <v>15919</v>
      </c>
      <c r="H290" s="8">
        <v>13230</v>
      </c>
      <c r="I290" s="8">
        <v>11673</v>
      </c>
      <c r="J290" s="8">
        <v>11252</v>
      </c>
      <c r="K290" s="8">
        <v>11609</v>
      </c>
      <c r="L290" s="8">
        <v>11418</v>
      </c>
      <c r="M290" s="8">
        <v>11707</v>
      </c>
      <c r="N290" s="8">
        <v>11662</v>
      </c>
      <c r="O290" s="8">
        <v>10220</v>
      </c>
      <c r="P290" s="8">
        <v>7603</v>
      </c>
      <c r="Q290" s="8">
        <v>5897</v>
      </c>
      <c r="R290" s="8">
        <v>3766</v>
      </c>
      <c r="S290" s="8">
        <v>2655</v>
      </c>
      <c r="T290" s="8">
        <v>2557</v>
      </c>
      <c r="U290" s="7">
        <f t="shared" si="16"/>
        <v>28.297414329442798</v>
      </c>
      <c r="V290" s="7">
        <f t="shared" si="17"/>
        <v>66.116890227210519</v>
      </c>
      <c r="W290" s="7">
        <f t="shared" si="18"/>
        <v>5.5856954433466885</v>
      </c>
      <c r="X290" s="7">
        <f>SUM(I290:L290)/D290*100</f>
        <v>28.589204389916134</v>
      </c>
      <c r="Y290" s="7">
        <f t="shared" si="19"/>
        <v>51.247282889969981</v>
      </c>
    </row>
    <row r="291" spans="1:25" x14ac:dyDescent="0.25">
      <c r="A291" s="57">
        <v>5208</v>
      </c>
      <c r="B291" t="s">
        <v>63</v>
      </c>
      <c r="C291" t="s">
        <v>369</v>
      </c>
      <c r="D291" s="8">
        <v>268761</v>
      </c>
      <c r="E291" s="8">
        <v>24442</v>
      </c>
      <c r="F291" s="8">
        <v>25357</v>
      </c>
      <c r="G291" s="8">
        <v>24380</v>
      </c>
      <c r="H291" s="8">
        <v>20907</v>
      </c>
      <c r="I291" s="8">
        <v>20357</v>
      </c>
      <c r="J291" s="8">
        <v>20927</v>
      </c>
      <c r="K291" s="8">
        <v>21200</v>
      </c>
      <c r="L291" s="8">
        <v>21922</v>
      </c>
      <c r="M291" s="8">
        <v>19823</v>
      </c>
      <c r="N291" s="8">
        <v>17077</v>
      </c>
      <c r="O291" s="8">
        <v>15450</v>
      </c>
      <c r="P291" s="8">
        <v>12597</v>
      </c>
      <c r="Q291" s="8">
        <v>9527</v>
      </c>
      <c r="R291" s="8">
        <v>6474</v>
      </c>
      <c r="S291" s="8">
        <v>4133</v>
      </c>
      <c r="T291" s="8">
        <v>4188</v>
      </c>
      <c r="U291" s="7">
        <f t="shared" si="16"/>
        <v>27.600358682993441</v>
      </c>
      <c r="V291" s="7">
        <f t="shared" si="17"/>
        <v>66.894750354404096</v>
      </c>
      <c r="W291" s="7">
        <f t="shared" si="18"/>
        <v>5.5048909626024605</v>
      </c>
      <c r="X291" s="7">
        <f>SUM(I291:L291)/D291*100</f>
        <v>31.405598282488899</v>
      </c>
      <c r="Y291" s="7">
        <f t="shared" si="19"/>
        <v>49.488561464399538</v>
      </c>
    </row>
    <row r="292" spans="1:25" x14ac:dyDescent="0.25">
      <c r="A292" s="57">
        <v>5271</v>
      </c>
      <c r="B292" t="s">
        <v>63</v>
      </c>
      <c r="C292" t="s">
        <v>370</v>
      </c>
      <c r="D292" s="8">
        <v>452410</v>
      </c>
      <c r="E292" s="8">
        <v>35159</v>
      </c>
      <c r="F292" s="8">
        <v>40180</v>
      </c>
      <c r="G292" s="8">
        <v>40864</v>
      </c>
      <c r="H292" s="8">
        <v>36728</v>
      </c>
      <c r="I292" s="8">
        <v>34496</v>
      </c>
      <c r="J292" s="8">
        <v>35042</v>
      </c>
      <c r="K292" s="8">
        <v>32842</v>
      </c>
      <c r="L292" s="8">
        <v>33249</v>
      </c>
      <c r="M292" s="8">
        <v>32241</v>
      </c>
      <c r="N292" s="8">
        <v>30426</v>
      </c>
      <c r="O292" s="8">
        <v>28080</v>
      </c>
      <c r="P292" s="8">
        <v>23336</v>
      </c>
      <c r="Q292" s="8">
        <v>19514</v>
      </c>
      <c r="R292" s="8">
        <v>12981</v>
      </c>
      <c r="S292" s="8">
        <v>9241</v>
      </c>
      <c r="T292" s="8">
        <v>8031</v>
      </c>
      <c r="U292" s="7">
        <f t="shared" si="16"/>
        <v>25.685329678831149</v>
      </c>
      <c r="V292" s="7">
        <f t="shared" si="17"/>
        <v>67.627594438672887</v>
      </c>
      <c r="W292" s="7">
        <f t="shared" si="18"/>
        <v>6.6870758824959662</v>
      </c>
      <c r="X292" s="7">
        <f>SUM(I292:L292)/D292*100</f>
        <v>29.979222386773056</v>
      </c>
      <c r="Y292" s="7">
        <f t="shared" si="19"/>
        <v>47.868633846918165</v>
      </c>
    </row>
    <row r="293" spans="1:25" x14ac:dyDescent="0.25">
      <c r="A293" s="57">
        <v>5272</v>
      </c>
      <c r="B293" t="s">
        <v>63</v>
      </c>
      <c r="C293" t="s">
        <v>371</v>
      </c>
      <c r="D293" s="8">
        <v>168060</v>
      </c>
      <c r="E293" s="8">
        <v>14377</v>
      </c>
      <c r="F293" s="8">
        <v>16164</v>
      </c>
      <c r="G293" s="8">
        <v>14877</v>
      </c>
      <c r="H293" s="8">
        <v>13679</v>
      </c>
      <c r="I293" s="8">
        <v>12182</v>
      </c>
      <c r="J293" s="8">
        <v>12708</v>
      </c>
      <c r="K293" s="8">
        <v>12861</v>
      </c>
      <c r="L293" s="8">
        <v>12767</v>
      </c>
      <c r="M293" s="8">
        <v>11966</v>
      </c>
      <c r="N293" s="8">
        <v>10813</v>
      </c>
      <c r="O293" s="8">
        <v>9780</v>
      </c>
      <c r="P293" s="8">
        <v>8107</v>
      </c>
      <c r="Q293" s="8">
        <v>6689</v>
      </c>
      <c r="R293" s="8">
        <v>4685</v>
      </c>
      <c r="S293" s="8">
        <v>3364</v>
      </c>
      <c r="T293" s="8">
        <v>3041</v>
      </c>
      <c r="U293" s="7">
        <f t="shared" si="16"/>
        <v>27.02487206949899</v>
      </c>
      <c r="V293" s="7">
        <f t="shared" si="17"/>
        <v>66.376294180649765</v>
      </c>
      <c r="W293" s="7">
        <f t="shared" si="18"/>
        <v>6.5988337498512433</v>
      </c>
      <c r="X293" s="7">
        <f>SUM(I293:L293)/D293*100</f>
        <v>30.059502558610017</v>
      </c>
      <c r="Y293" s="7">
        <f t="shared" si="19"/>
        <v>50.656196213425133</v>
      </c>
    </row>
    <row r="294" spans="1:25" x14ac:dyDescent="0.25">
      <c r="A294" s="57">
        <v>5301</v>
      </c>
      <c r="B294" t="s">
        <v>64</v>
      </c>
      <c r="C294" t="s">
        <v>372</v>
      </c>
      <c r="D294" s="8">
        <v>160172</v>
      </c>
      <c r="E294" s="8">
        <v>17591</v>
      </c>
      <c r="F294" s="8">
        <v>18243</v>
      </c>
      <c r="G294" s="8">
        <v>14851</v>
      </c>
      <c r="H294" s="8">
        <v>14444</v>
      </c>
      <c r="I294" s="8">
        <v>13839</v>
      </c>
      <c r="J294" s="8">
        <v>14033</v>
      </c>
      <c r="K294" s="8">
        <v>12833</v>
      </c>
      <c r="L294" s="8">
        <v>11222</v>
      </c>
      <c r="M294" s="8">
        <v>9198</v>
      </c>
      <c r="N294" s="8">
        <v>8334</v>
      </c>
      <c r="O294" s="8">
        <v>7004</v>
      </c>
      <c r="P294" s="8">
        <v>5665</v>
      </c>
      <c r="Q294" s="8">
        <v>4302</v>
      </c>
      <c r="R294" s="8">
        <v>3445</v>
      </c>
      <c r="S294" s="8">
        <v>2443</v>
      </c>
      <c r="T294" s="8">
        <v>2725</v>
      </c>
      <c r="U294" s="7">
        <f t="shared" si="16"/>
        <v>31.644107584346827</v>
      </c>
      <c r="V294" s="7">
        <f t="shared" si="17"/>
        <v>62.978548060834605</v>
      </c>
      <c r="W294" s="7">
        <f t="shared" si="18"/>
        <v>5.37734435481857</v>
      </c>
      <c r="X294" s="7">
        <f>SUM(I294:L294)/D294*100</f>
        <v>32.419524011687436</v>
      </c>
      <c r="Y294" s="7">
        <f t="shared" si="19"/>
        <v>58.784225865931759</v>
      </c>
    </row>
    <row r="295" spans="1:25" x14ac:dyDescent="0.25">
      <c r="A295" s="57">
        <v>5302</v>
      </c>
      <c r="B295" t="s">
        <v>64</v>
      </c>
      <c r="C295" t="s">
        <v>373</v>
      </c>
      <c r="D295" s="8">
        <v>266655</v>
      </c>
      <c r="E295" s="8">
        <v>25695</v>
      </c>
      <c r="F295" s="8">
        <v>30121</v>
      </c>
      <c r="G295" s="8">
        <v>27203</v>
      </c>
      <c r="H295" s="8">
        <v>23167</v>
      </c>
      <c r="I295" s="8">
        <v>19306</v>
      </c>
      <c r="J295" s="8">
        <v>21159</v>
      </c>
      <c r="K295" s="8">
        <v>21051</v>
      </c>
      <c r="L295" s="8">
        <v>18455</v>
      </c>
      <c r="M295" s="8">
        <v>16518</v>
      </c>
      <c r="N295" s="8">
        <v>14906</v>
      </c>
      <c r="O295" s="8">
        <v>12979</v>
      </c>
      <c r="P295" s="8">
        <v>10583</v>
      </c>
      <c r="Q295" s="8">
        <v>8575</v>
      </c>
      <c r="R295" s="8">
        <v>6718</v>
      </c>
      <c r="S295" s="8">
        <v>5115</v>
      </c>
      <c r="T295" s="8">
        <v>5104</v>
      </c>
      <c r="U295" s="7">
        <f t="shared" si="16"/>
        <v>31.133487090060193</v>
      </c>
      <c r="V295" s="7">
        <f t="shared" si="17"/>
        <v>62.514860025126097</v>
      </c>
      <c r="W295" s="7">
        <f t="shared" si="18"/>
        <v>6.3516528848137108</v>
      </c>
      <c r="X295" s="7">
        <f>SUM(I295:L295)/D295*100</f>
        <v>29.990437081622325</v>
      </c>
      <c r="Y295" s="7">
        <f t="shared" si="19"/>
        <v>59.961967378328609</v>
      </c>
    </row>
    <row r="296" spans="1:25" x14ac:dyDescent="0.25">
      <c r="A296" s="57">
        <v>5303</v>
      </c>
      <c r="B296" t="s">
        <v>64</v>
      </c>
      <c r="C296" t="s">
        <v>374</v>
      </c>
      <c r="D296" s="8">
        <v>386353</v>
      </c>
      <c r="E296" s="8">
        <v>41245</v>
      </c>
      <c r="F296" s="8">
        <v>27998</v>
      </c>
      <c r="G296" s="8">
        <v>30470</v>
      </c>
      <c r="H296" s="8">
        <v>30525</v>
      </c>
      <c r="I296" s="8">
        <v>33610</v>
      </c>
      <c r="J296" s="8">
        <v>31394</v>
      </c>
      <c r="K296" s="8">
        <v>31229</v>
      </c>
      <c r="L296" s="8">
        <v>30799</v>
      </c>
      <c r="M296" s="8">
        <v>27146</v>
      </c>
      <c r="N296" s="8">
        <v>22830</v>
      </c>
      <c r="O296" s="8">
        <v>19846</v>
      </c>
      <c r="P296" s="8">
        <v>16679</v>
      </c>
      <c r="Q296" s="8">
        <v>15062</v>
      </c>
      <c r="R296" s="8">
        <v>11836</v>
      </c>
      <c r="S296" s="8">
        <v>7881</v>
      </c>
      <c r="T296" s="8">
        <v>7803</v>
      </c>
      <c r="U296" s="7">
        <f t="shared" si="16"/>
        <v>25.808781088797033</v>
      </c>
      <c r="V296" s="7">
        <f t="shared" si="17"/>
        <v>67.068199289251012</v>
      </c>
      <c r="W296" s="7">
        <f t="shared" si="18"/>
        <v>7.1230196219519453</v>
      </c>
      <c r="X296" s="7">
        <f>SUM(I296:L296)/D296*100</f>
        <v>32.879775749120618</v>
      </c>
      <c r="Y296" s="7">
        <f t="shared" si="19"/>
        <v>49.10196048163013</v>
      </c>
    </row>
    <row r="297" spans="1:25" x14ac:dyDescent="0.25">
      <c r="A297" s="57">
        <v>5304</v>
      </c>
      <c r="B297" t="s">
        <v>64</v>
      </c>
      <c r="C297" t="s">
        <v>375</v>
      </c>
      <c r="D297" s="8">
        <v>494692</v>
      </c>
      <c r="E297" s="8">
        <v>50960</v>
      </c>
      <c r="F297" s="8">
        <v>39535</v>
      </c>
      <c r="G297" s="8">
        <v>44045</v>
      </c>
      <c r="H297" s="8">
        <v>47789</v>
      </c>
      <c r="I297" s="8">
        <v>42491</v>
      </c>
      <c r="J297" s="8">
        <v>38621</v>
      </c>
      <c r="K297" s="8">
        <v>37068</v>
      </c>
      <c r="L297" s="8">
        <v>31140</v>
      </c>
      <c r="M297" s="8">
        <v>29487</v>
      </c>
      <c r="N297" s="8">
        <v>27227</v>
      </c>
      <c r="O297" s="8">
        <v>24915</v>
      </c>
      <c r="P297" s="8">
        <v>22334</v>
      </c>
      <c r="Q297" s="8">
        <v>19610</v>
      </c>
      <c r="R297" s="8">
        <v>15884</v>
      </c>
      <c r="S297" s="8">
        <v>10989</v>
      </c>
      <c r="T297" s="8">
        <v>12597</v>
      </c>
      <c r="U297" s="7">
        <f t="shared" si="16"/>
        <v>27.196720383592215</v>
      </c>
      <c r="V297" s="7">
        <f t="shared" si="17"/>
        <v>64.824577717044136</v>
      </c>
      <c r="W297" s="7">
        <f t="shared" si="18"/>
        <v>7.978701899363644</v>
      </c>
      <c r="X297" s="7">
        <f>SUM(I297:L297)/D297*100</f>
        <v>30.184437993741557</v>
      </c>
      <c r="Y297" s="7">
        <f t="shared" si="19"/>
        <v>54.262478093563097</v>
      </c>
    </row>
    <row r="298" spans="1:25" x14ac:dyDescent="0.25">
      <c r="A298" s="57">
        <v>5305</v>
      </c>
      <c r="B298" t="s">
        <v>64</v>
      </c>
      <c r="C298" t="s">
        <v>376</v>
      </c>
      <c r="D298" s="8">
        <v>283855</v>
      </c>
      <c r="E298" s="8">
        <v>27238</v>
      </c>
      <c r="F298" s="8">
        <v>27105</v>
      </c>
      <c r="G298" s="8">
        <v>27054</v>
      </c>
      <c r="H298" s="8">
        <v>24301</v>
      </c>
      <c r="I298" s="8">
        <v>24578</v>
      </c>
      <c r="J298" s="8">
        <v>22702</v>
      </c>
      <c r="K298" s="8">
        <v>22013</v>
      </c>
      <c r="L298" s="8">
        <v>18426</v>
      </c>
      <c r="M298" s="8">
        <v>17359</v>
      </c>
      <c r="N298" s="8">
        <v>15387</v>
      </c>
      <c r="O298" s="8">
        <v>13457</v>
      </c>
      <c r="P298" s="8">
        <v>12659</v>
      </c>
      <c r="Q298" s="8">
        <v>10617</v>
      </c>
      <c r="R298" s="8">
        <v>8303</v>
      </c>
      <c r="S298" s="8">
        <v>5734</v>
      </c>
      <c r="T298" s="8">
        <v>6922</v>
      </c>
      <c r="U298" s="7">
        <f t="shared" si="16"/>
        <v>28.675556181853413</v>
      </c>
      <c r="V298" s="7">
        <f t="shared" si="17"/>
        <v>63.9407443941449</v>
      </c>
      <c r="W298" s="7">
        <f t="shared" si="18"/>
        <v>7.3836994240016915</v>
      </c>
      <c r="X298" s="7">
        <f>SUM(I298:L298)/D298*100</f>
        <v>30.9027496433038</v>
      </c>
      <c r="Y298" s="7">
        <f t="shared" si="19"/>
        <v>56.39480107328415</v>
      </c>
    </row>
    <row r="299" spans="1:25" x14ac:dyDescent="0.25">
      <c r="A299" s="57">
        <v>5306</v>
      </c>
      <c r="B299" t="s">
        <v>64</v>
      </c>
      <c r="C299" t="s">
        <v>377</v>
      </c>
      <c r="D299" s="8">
        <v>245054</v>
      </c>
      <c r="E299" s="8">
        <v>26874</v>
      </c>
      <c r="F299" s="8">
        <v>21884</v>
      </c>
      <c r="G299" s="8">
        <v>20696</v>
      </c>
      <c r="H299" s="8">
        <v>20209</v>
      </c>
      <c r="I299" s="8">
        <v>20843</v>
      </c>
      <c r="J299" s="8">
        <v>21318</v>
      </c>
      <c r="K299" s="8">
        <v>22522</v>
      </c>
      <c r="L299" s="8">
        <v>19727</v>
      </c>
      <c r="M299" s="8">
        <v>15472</v>
      </c>
      <c r="N299" s="8">
        <v>12206</v>
      </c>
      <c r="O299" s="8">
        <v>10494</v>
      </c>
      <c r="P299" s="8">
        <v>9523</v>
      </c>
      <c r="Q299" s="8">
        <v>7838</v>
      </c>
      <c r="R299" s="8">
        <v>6465</v>
      </c>
      <c r="S299" s="8">
        <v>4404</v>
      </c>
      <c r="T299" s="8">
        <v>4579</v>
      </c>
      <c r="U299" s="7">
        <f t="shared" si="16"/>
        <v>28.342324548874942</v>
      </c>
      <c r="V299" s="7">
        <f t="shared" si="17"/>
        <v>65.3537587633746</v>
      </c>
      <c r="W299" s="7">
        <f t="shared" si="18"/>
        <v>6.3039166877504549</v>
      </c>
      <c r="X299" s="7">
        <f>SUM(I299:L299)/D299*100</f>
        <v>34.445469161899013</v>
      </c>
      <c r="Y299" s="7">
        <f t="shared" si="19"/>
        <v>53.013387282082022</v>
      </c>
    </row>
    <row r="300" spans="1:25" x14ac:dyDescent="0.25">
      <c r="A300" s="57">
        <v>5307</v>
      </c>
      <c r="B300" t="s">
        <v>64</v>
      </c>
      <c r="C300" t="s">
        <v>378</v>
      </c>
      <c r="D300" s="8">
        <v>231970</v>
      </c>
      <c r="E300" s="8">
        <v>23123</v>
      </c>
      <c r="F300" s="8">
        <v>24334</v>
      </c>
      <c r="G300" s="8">
        <v>23237</v>
      </c>
      <c r="H300" s="8">
        <v>20111</v>
      </c>
      <c r="I300" s="8">
        <v>17472</v>
      </c>
      <c r="J300" s="8">
        <v>18468</v>
      </c>
      <c r="K300" s="8">
        <v>18552</v>
      </c>
      <c r="L300" s="8">
        <v>16787</v>
      </c>
      <c r="M300" s="8">
        <v>14227</v>
      </c>
      <c r="N300" s="8">
        <v>12356</v>
      </c>
      <c r="O300" s="8">
        <v>11191</v>
      </c>
      <c r="P300" s="8">
        <v>9498</v>
      </c>
      <c r="Q300" s="8">
        <v>7596</v>
      </c>
      <c r="R300" s="8">
        <v>6374</v>
      </c>
      <c r="S300" s="8">
        <v>4228</v>
      </c>
      <c r="T300" s="8">
        <v>4416</v>
      </c>
      <c r="U300" s="7">
        <f t="shared" si="16"/>
        <v>30.475492520584556</v>
      </c>
      <c r="V300" s="7">
        <f t="shared" si="17"/>
        <v>63.050394447557878</v>
      </c>
      <c r="W300" s="7">
        <f t="shared" si="18"/>
        <v>6.4741130318575673</v>
      </c>
      <c r="X300" s="7">
        <f>SUM(I300:L300)/D300*100</f>
        <v>30.727680303487521</v>
      </c>
      <c r="Y300" s="7">
        <f t="shared" si="19"/>
        <v>58.60329007644026</v>
      </c>
    </row>
    <row r="301" spans="1:25" x14ac:dyDescent="0.25">
      <c r="A301" s="57">
        <v>5308</v>
      </c>
      <c r="B301" t="s">
        <v>64</v>
      </c>
      <c r="C301" t="s">
        <v>379</v>
      </c>
      <c r="D301" s="8">
        <v>147202</v>
      </c>
      <c r="E301" s="8">
        <v>13117</v>
      </c>
      <c r="F301" s="8">
        <v>16240</v>
      </c>
      <c r="G301" s="8">
        <v>15190</v>
      </c>
      <c r="H301" s="8">
        <v>12840</v>
      </c>
      <c r="I301" s="8">
        <v>10441</v>
      </c>
      <c r="J301" s="8">
        <v>10826</v>
      </c>
      <c r="K301" s="8">
        <v>10023</v>
      </c>
      <c r="L301" s="8">
        <v>9045</v>
      </c>
      <c r="M301" s="8">
        <v>8851</v>
      </c>
      <c r="N301" s="8">
        <v>8567</v>
      </c>
      <c r="O301" s="8">
        <v>7581</v>
      </c>
      <c r="P301" s="8">
        <v>6538</v>
      </c>
      <c r="Q301" s="8">
        <v>5352</v>
      </c>
      <c r="R301" s="8">
        <v>4529</v>
      </c>
      <c r="S301" s="8">
        <v>3654</v>
      </c>
      <c r="T301" s="8">
        <v>4408</v>
      </c>
      <c r="U301" s="7">
        <f t="shared" si="16"/>
        <v>30.262496433472368</v>
      </c>
      <c r="V301" s="7">
        <f t="shared" si="17"/>
        <v>61.183951305009444</v>
      </c>
      <c r="W301" s="7">
        <f t="shared" si="18"/>
        <v>8.5535522615181847</v>
      </c>
      <c r="X301" s="7">
        <f>SUM(I301:L301)/D301*100</f>
        <v>27.401122267360499</v>
      </c>
      <c r="Y301" s="7">
        <f t="shared" si="19"/>
        <v>63.441552673654286</v>
      </c>
    </row>
    <row r="302" spans="1:25" x14ac:dyDescent="0.25">
      <c r="A302" s="57">
        <v>5309</v>
      </c>
      <c r="B302" t="s">
        <v>64</v>
      </c>
      <c r="C302" t="s">
        <v>380</v>
      </c>
      <c r="D302" s="8">
        <v>300997</v>
      </c>
      <c r="E302" s="8">
        <v>27448</v>
      </c>
      <c r="F302" s="8">
        <v>27747</v>
      </c>
      <c r="G302" s="8">
        <v>26145</v>
      </c>
      <c r="H302" s="8">
        <v>22719</v>
      </c>
      <c r="I302" s="8">
        <v>23747</v>
      </c>
      <c r="J302" s="8">
        <v>25337</v>
      </c>
      <c r="K302" s="8">
        <v>24455</v>
      </c>
      <c r="L302" s="8">
        <v>20321</v>
      </c>
      <c r="M302" s="8">
        <v>17998</v>
      </c>
      <c r="N302" s="8">
        <v>17033</v>
      </c>
      <c r="O302" s="8">
        <v>16312</v>
      </c>
      <c r="P302" s="8">
        <v>14377</v>
      </c>
      <c r="Q302" s="8">
        <v>11923</v>
      </c>
      <c r="R302" s="8">
        <v>9455</v>
      </c>
      <c r="S302" s="8">
        <v>7347</v>
      </c>
      <c r="T302" s="8">
        <v>8633</v>
      </c>
      <c r="U302" s="7">
        <f t="shared" si="16"/>
        <v>27.02352515141347</v>
      </c>
      <c r="V302" s="7">
        <f t="shared" si="17"/>
        <v>64.526224513865586</v>
      </c>
      <c r="W302" s="7">
        <f t="shared" si="18"/>
        <v>8.450250334720943</v>
      </c>
      <c r="X302" s="7">
        <f>SUM(I302:L302)/D302*100</f>
        <v>31.18303504686093</v>
      </c>
      <c r="Y302" s="7">
        <f t="shared" si="19"/>
        <v>54.97574940017094</v>
      </c>
    </row>
    <row r="303" spans="1:25" x14ac:dyDescent="0.25">
      <c r="A303" s="57">
        <v>5310</v>
      </c>
      <c r="B303" t="s">
        <v>64</v>
      </c>
      <c r="C303" t="s">
        <v>381</v>
      </c>
      <c r="D303" s="8">
        <v>350343</v>
      </c>
      <c r="E303" s="8">
        <v>27401</v>
      </c>
      <c r="F303" s="8">
        <v>38393</v>
      </c>
      <c r="G303" s="8">
        <v>32197</v>
      </c>
      <c r="H303" s="8">
        <v>27812</v>
      </c>
      <c r="I303" s="8">
        <v>26710</v>
      </c>
      <c r="J303" s="8">
        <v>29080</v>
      </c>
      <c r="K303" s="8">
        <v>26670</v>
      </c>
      <c r="L303" s="8">
        <v>23606</v>
      </c>
      <c r="M303" s="8">
        <v>21405</v>
      </c>
      <c r="N303" s="8">
        <v>20472</v>
      </c>
      <c r="O303" s="8">
        <v>18522</v>
      </c>
      <c r="P303" s="8">
        <v>15324</v>
      </c>
      <c r="Q303" s="8">
        <v>13744</v>
      </c>
      <c r="R303" s="8">
        <v>11187</v>
      </c>
      <c r="S303" s="8">
        <v>8723</v>
      </c>
      <c r="T303" s="8">
        <v>9097</v>
      </c>
      <c r="U303" s="7">
        <f t="shared" si="16"/>
        <v>27.970017953833814</v>
      </c>
      <c r="V303" s="7">
        <f t="shared" si="17"/>
        <v>63.750381768723798</v>
      </c>
      <c r="W303" s="7">
        <f t="shared" si="18"/>
        <v>8.2796002774423929</v>
      </c>
      <c r="X303" s="7">
        <f>SUM(I303:L303)/D303*100</f>
        <v>30.274902024587334</v>
      </c>
      <c r="Y303" s="7">
        <f t="shared" si="19"/>
        <v>56.86180572656653</v>
      </c>
    </row>
    <row r="304" spans="1:25" x14ac:dyDescent="0.25">
      <c r="A304" s="57">
        <v>5311</v>
      </c>
      <c r="B304" t="s">
        <v>64</v>
      </c>
      <c r="C304" t="s">
        <v>382</v>
      </c>
      <c r="D304" s="8">
        <v>286911</v>
      </c>
      <c r="E304" s="8">
        <v>23051</v>
      </c>
      <c r="F304" s="8">
        <v>20863</v>
      </c>
      <c r="G304" s="8">
        <v>25073</v>
      </c>
      <c r="H304" s="8">
        <v>23730</v>
      </c>
      <c r="I304" s="8">
        <v>23056</v>
      </c>
      <c r="J304" s="8">
        <v>24250</v>
      </c>
      <c r="K304" s="8">
        <v>22960</v>
      </c>
      <c r="L304" s="8">
        <v>20933</v>
      </c>
      <c r="M304" s="8">
        <v>19477</v>
      </c>
      <c r="N304" s="8">
        <v>18122</v>
      </c>
      <c r="O304" s="8">
        <v>16354</v>
      </c>
      <c r="P304" s="8">
        <v>14262</v>
      </c>
      <c r="Q304" s="8">
        <v>11996</v>
      </c>
      <c r="R304" s="8">
        <v>9290</v>
      </c>
      <c r="S304" s="8">
        <v>6569</v>
      </c>
      <c r="T304" s="8">
        <v>6925</v>
      </c>
      <c r="U304" s="7">
        <f t="shared" si="16"/>
        <v>24.044738612322288</v>
      </c>
      <c r="V304" s="7">
        <f t="shared" si="17"/>
        <v>68.01412284645761</v>
      </c>
      <c r="W304" s="7">
        <f t="shared" si="18"/>
        <v>7.9411385412200994</v>
      </c>
      <c r="X304" s="7">
        <f>SUM(I304:L304)/D304*100</f>
        <v>31.786512193676785</v>
      </c>
      <c r="Y304" s="7">
        <f t="shared" si="19"/>
        <v>47.02828738341703</v>
      </c>
    </row>
    <row r="305" spans="1:25" x14ac:dyDescent="0.25">
      <c r="A305" s="57">
        <v>5312</v>
      </c>
      <c r="B305" t="s">
        <v>64</v>
      </c>
      <c r="C305" t="s">
        <v>383</v>
      </c>
      <c r="D305" s="8">
        <v>178843</v>
      </c>
      <c r="E305" s="8">
        <v>17024</v>
      </c>
      <c r="F305" s="8">
        <v>14340</v>
      </c>
      <c r="G305" s="8">
        <v>15829</v>
      </c>
      <c r="H305" s="8">
        <v>14617</v>
      </c>
      <c r="I305" s="8">
        <v>15429</v>
      </c>
      <c r="J305" s="8">
        <v>15647</v>
      </c>
      <c r="K305" s="8">
        <v>13703</v>
      </c>
      <c r="L305" s="8">
        <v>11490</v>
      </c>
      <c r="M305" s="8">
        <v>11346</v>
      </c>
      <c r="N305" s="8">
        <v>11221</v>
      </c>
      <c r="O305" s="8">
        <v>9722</v>
      </c>
      <c r="P305" s="8">
        <v>7940</v>
      </c>
      <c r="Q305" s="8">
        <v>6533</v>
      </c>
      <c r="R305" s="8">
        <v>5159</v>
      </c>
      <c r="S305" s="8">
        <v>3791</v>
      </c>
      <c r="T305" s="8">
        <v>5052</v>
      </c>
      <c r="U305" s="7">
        <f t="shared" si="16"/>
        <v>26.38794920684623</v>
      </c>
      <c r="V305" s="7">
        <f t="shared" si="17"/>
        <v>65.782837460789636</v>
      </c>
      <c r="W305" s="7">
        <f t="shared" si="18"/>
        <v>7.8292133323641409</v>
      </c>
      <c r="X305" s="7">
        <f>SUM(I305:L305)/D305*100</f>
        <v>31.462791386858864</v>
      </c>
      <c r="Y305" s="7">
        <f t="shared" si="19"/>
        <v>52.015333877328985</v>
      </c>
    </row>
    <row r="306" spans="1:25" x14ac:dyDescent="0.25">
      <c r="A306" s="57">
        <v>5313</v>
      </c>
      <c r="B306" t="s">
        <v>64</v>
      </c>
      <c r="C306" t="s">
        <v>384</v>
      </c>
      <c r="D306" s="8">
        <v>345826</v>
      </c>
      <c r="E306" s="8">
        <v>35697</v>
      </c>
      <c r="F306" s="8">
        <v>34022</v>
      </c>
      <c r="G306" s="8">
        <v>33705</v>
      </c>
      <c r="H306" s="8">
        <v>30910</v>
      </c>
      <c r="I306" s="8">
        <v>30270</v>
      </c>
      <c r="J306" s="8">
        <v>31441</v>
      </c>
      <c r="K306" s="8">
        <v>26397</v>
      </c>
      <c r="L306" s="8">
        <v>22426</v>
      </c>
      <c r="M306" s="8">
        <v>19682</v>
      </c>
      <c r="N306" s="8">
        <v>18276</v>
      </c>
      <c r="O306" s="8">
        <v>16824</v>
      </c>
      <c r="P306" s="8">
        <v>15065</v>
      </c>
      <c r="Q306" s="8">
        <v>11994</v>
      </c>
      <c r="R306" s="8">
        <v>8344</v>
      </c>
      <c r="S306" s="8">
        <v>5516</v>
      </c>
      <c r="T306" s="8">
        <v>5257</v>
      </c>
      <c r="U306" s="7">
        <f t="shared" si="16"/>
        <v>29.906369098911011</v>
      </c>
      <c r="V306" s="7">
        <f t="shared" si="17"/>
        <v>64.565706453534432</v>
      </c>
      <c r="W306" s="7">
        <f t="shared" si="18"/>
        <v>5.5279244475545504</v>
      </c>
      <c r="X306" s="7">
        <f>SUM(I306:L306)/D306*100</f>
        <v>31.962316309357885</v>
      </c>
      <c r="Y306" s="7">
        <f t="shared" si="19"/>
        <v>54.880981704995854</v>
      </c>
    </row>
    <row r="307" spans="1:25" x14ac:dyDescent="0.25">
      <c r="A307" s="57">
        <v>5314</v>
      </c>
      <c r="B307" t="s">
        <v>64</v>
      </c>
      <c r="C307" t="s">
        <v>385</v>
      </c>
      <c r="D307" s="8">
        <v>157788</v>
      </c>
      <c r="E307" s="8">
        <v>16520</v>
      </c>
      <c r="F307" s="8">
        <v>16838</v>
      </c>
      <c r="G307" s="8">
        <v>16240</v>
      </c>
      <c r="H307" s="8">
        <v>13561</v>
      </c>
      <c r="I307" s="8">
        <v>12238</v>
      </c>
      <c r="J307" s="8">
        <v>11185</v>
      </c>
      <c r="K307" s="8">
        <v>11738</v>
      </c>
      <c r="L307" s="8">
        <v>11770</v>
      </c>
      <c r="M307" s="8">
        <v>10593</v>
      </c>
      <c r="N307" s="8">
        <v>9027</v>
      </c>
      <c r="O307" s="8">
        <v>6802</v>
      </c>
      <c r="P307" s="8">
        <v>5485</v>
      </c>
      <c r="Q307" s="8">
        <v>4826</v>
      </c>
      <c r="R307" s="8">
        <v>3794</v>
      </c>
      <c r="S307" s="8">
        <v>3181</v>
      </c>
      <c r="T307" s="8">
        <v>3990</v>
      </c>
      <c r="U307" s="7">
        <f t="shared" si="16"/>
        <v>31.433315588004156</v>
      </c>
      <c r="V307" s="7">
        <f t="shared" si="17"/>
        <v>61.617486754379293</v>
      </c>
      <c r="W307" s="7">
        <f t="shared" si="18"/>
        <v>6.9491976576165486</v>
      </c>
      <c r="X307" s="7">
        <f>SUM(I307:L307)/D307*100</f>
        <v>29.743072984003856</v>
      </c>
      <c r="Y307" s="7">
        <f t="shared" si="19"/>
        <v>62.291591668809467</v>
      </c>
    </row>
    <row r="308" spans="1:25" x14ac:dyDescent="0.25">
      <c r="A308" s="57">
        <v>5315</v>
      </c>
      <c r="B308" t="s">
        <v>64</v>
      </c>
      <c r="C308" t="s">
        <v>386</v>
      </c>
      <c r="D308" s="8">
        <v>287142</v>
      </c>
      <c r="E308" s="8">
        <v>28991</v>
      </c>
      <c r="F308" s="8">
        <v>32253</v>
      </c>
      <c r="G308" s="8">
        <v>27370</v>
      </c>
      <c r="H308" s="8">
        <v>26000</v>
      </c>
      <c r="I308" s="8">
        <v>24430</v>
      </c>
      <c r="J308" s="8">
        <v>26151</v>
      </c>
      <c r="K308" s="8">
        <v>23074</v>
      </c>
      <c r="L308" s="8">
        <v>19030</v>
      </c>
      <c r="M308" s="8">
        <v>16860</v>
      </c>
      <c r="N308" s="8">
        <v>14927</v>
      </c>
      <c r="O308" s="8">
        <v>13341</v>
      </c>
      <c r="P308" s="8">
        <v>11892</v>
      </c>
      <c r="Q308" s="8">
        <v>8746</v>
      </c>
      <c r="R308" s="8">
        <v>6062</v>
      </c>
      <c r="S308" s="8">
        <v>3946</v>
      </c>
      <c r="T308" s="8">
        <v>4069</v>
      </c>
      <c r="U308" s="7">
        <f t="shared" si="16"/>
        <v>30.860689136385481</v>
      </c>
      <c r="V308" s="7">
        <f t="shared" si="17"/>
        <v>64.236858418482839</v>
      </c>
      <c r="W308" s="7">
        <f t="shared" si="18"/>
        <v>4.9024524451316767</v>
      </c>
      <c r="X308" s="7">
        <f>SUM(I308:L308)/D308*100</f>
        <v>32.278454562550934</v>
      </c>
      <c r="Y308" s="7">
        <f t="shared" si="19"/>
        <v>55.673864603607456</v>
      </c>
    </row>
    <row r="309" spans="1:25" x14ac:dyDescent="0.25">
      <c r="A309" s="57">
        <v>5316</v>
      </c>
      <c r="B309" t="s">
        <v>64</v>
      </c>
      <c r="C309" t="s">
        <v>387</v>
      </c>
      <c r="D309" s="8">
        <v>96036</v>
      </c>
      <c r="E309" s="8">
        <v>10529</v>
      </c>
      <c r="F309" s="8">
        <v>11739</v>
      </c>
      <c r="G309" s="8">
        <v>9443</v>
      </c>
      <c r="H309" s="8">
        <v>8804</v>
      </c>
      <c r="I309" s="8">
        <v>7898</v>
      </c>
      <c r="J309" s="8">
        <v>7894</v>
      </c>
      <c r="K309" s="8">
        <v>7292</v>
      </c>
      <c r="L309" s="8">
        <v>6484</v>
      </c>
      <c r="M309" s="8">
        <v>5571</v>
      </c>
      <c r="N309" s="8">
        <v>4898</v>
      </c>
      <c r="O309" s="8">
        <v>4221</v>
      </c>
      <c r="P309" s="8">
        <v>3335</v>
      </c>
      <c r="Q309" s="8">
        <v>2618</v>
      </c>
      <c r="R309" s="8">
        <v>2020</v>
      </c>
      <c r="S309" s="8">
        <v>1481</v>
      </c>
      <c r="T309" s="8">
        <v>1809</v>
      </c>
      <c r="U309" s="7">
        <f t="shared" si="16"/>
        <v>33.019909200716398</v>
      </c>
      <c r="V309" s="7">
        <f t="shared" si="17"/>
        <v>61.450914240493148</v>
      </c>
      <c r="W309" s="7">
        <f t="shared" si="18"/>
        <v>5.5291765587904536</v>
      </c>
      <c r="X309" s="7">
        <f>SUM(I309:L309)/D309*100</f>
        <v>30.78845432962639</v>
      </c>
      <c r="Y309" s="7">
        <f t="shared" si="19"/>
        <v>62.73150893840549</v>
      </c>
    </row>
    <row r="310" spans="1:25" x14ac:dyDescent="0.25">
      <c r="A310" s="57">
        <v>5317</v>
      </c>
      <c r="B310" t="s">
        <v>64</v>
      </c>
      <c r="C310" t="s">
        <v>388</v>
      </c>
      <c r="D310" s="8">
        <v>342287</v>
      </c>
      <c r="E310" s="8">
        <v>38247</v>
      </c>
      <c r="F310" s="8">
        <v>40329</v>
      </c>
      <c r="G310" s="8">
        <v>42157</v>
      </c>
      <c r="H310" s="8">
        <v>36717</v>
      </c>
      <c r="I310" s="8">
        <v>28445</v>
      </c>
      <c r="J310" s="8">
        <v>28416</v>
      </c>
      <c r="K310" s="8">
        <v>23965</v>
      </c>
      <c r="L310" s="8">
        <v>21493</v>
      </c>
      <c r="M310" s="8">
        <v>18399</v>
      </c>
      <c r="N310" s="8">
        <v>16684</v>
      </c>
      <c r="O310" s="8">
        <v>14521</v>
      </c>
      <c r="P310" s="8">
        <v>11282</v>
      </c>
      <c r="Q310" s="8">
        <v>8331</v>
      </c>
      <c r="R310" s="8">
        <v>5840</v>
      </c>
      <c r="S310" s="8">
        <v>3907</v>
      </c>
      <c r="T310" s="8">
        <v>3554</v>
      </c>
      <c r="U310" s="7">
        <f t="shared" si="16"/>
        <v>35.272446806335033</v>
      </c>
      <c r="V310" s="7">
        <f t="shared" si="17"/>
        <v>60.841632898707807</v>
      </c>
      <c r="W310" s="7">
        <f t="shared" si="18"/>
        <v>3.8859202949571556</v>
      </c>
      <c r="X310" s="7">
        <f>SUM(I310:L310)/D310*100</f>
        <v>29.892750820218122</v>
      </c>
      <c r="Y310" s="7">
        <f t="shared" si="19"/>
        <v>64.361137654679652</v>
      </c>
    </row>
    <row r="311" spans="1:25" x14ac:dyDescent="0.25">
      <c r="A311" s="57">
        <v>5318</v>
      </c>
      <c r="B311" t="s">
        <v>64</v>
      </c>
      <c r="C311" t="s">
        <v>389</v>
      </c>
      <c r="D311" s="8">
        <v>172974</v>
      </c>
      <c r="E311" s="8">
        <v>15353</v>
      </c>
      <c r="F311" s="8">
        <v>14812</v>
      </c>
      <c r="G311" s="8">
        <v>15233</v>
      </c>
      <c r="H311" s="8">
        <v>13712</v>
      </c>
      <c r="I311" s="8">
        <v>13732</v>
      </c>
      <c r="J311" s="8">
        <v>14378</v>
      </c>
      <c r="K311" s="8">
        <v>13970</v>
      </c>
      <c r="L311" s="8">
        <v>11759</v>
      </c>
      <c r="M311" s="8">
        <v>11441</v>
      </c>
      <c r="N311" s="8">
        <v>10926</v>
      </c>
      <c r="O311" s="8">
        <v>9523</v>
      </c>
      <c r="P311" s="8">
        <v>8065</v>
      </c>
      <c r="Q311" s="8">
        <v>6313</v>
      </c>
      <c r="R311" s="8">
        <v>5159</v>
      </c>
      <c r="S311" s="8">
        <v>3955</v>
      </c>
      <c r="T311" s="8">
        <v>4643</v>
      </c>
      <c r="U311" s="7">
        <f t="shared" si="16"/>
        <v>26.245562916970183</v>
      </c>
      <c r="V311" s="7">
        <f t="shared" si="17"/>
        <v>65.801218680264085</v>
      </c>
      <c r="W311" s="7">
        <f t="shared" si="18"/>
        <v>7.9532184027657342</v>
      </c>
      <c r="X311" s="7">
        <f>SUM(I311:L311)/D311*100</f>
        <v>31.125487067420536</v>
      </c>
      <c r="Y311" s="7">
        <f t="shared" si="19"/>
        <v>51.972869204614348</v>
      </c>
    </row>
    <row r="312" spans="1:25" x14ac:dyDescent="0.25">
      <c r="A312" s="57">
        <v>5319</v>
      </c>
      <c r="B312" t="s">
        <v>64</v>
      </c>
      <c r="C312" t="s">
        <v>390</v>
      </c>
      <c r="D312" s="8">
        <v>306838</v>
      </c>
      <c r="E312" s="8">
        <v>32164</v>
      </c>
      <c r="F312" s="8">
        <v>28677</v>
      </c>
      <c r="G312" s="8">
        <v>29141</v>
      </c>
      <c r="H312" s="8">
        <v>27620</v>
      </c>
      <c r="I312" s="8">
        <v>25447</v>
      </c>
      <c r="J312" s="8">
        <v>26785</v>
      </c>
      <c r="K312" s="8">
        <v>23264</v>
      </c>
      <c r="L312" s="8">
        <v>19783</v>
      </c>
      <c r="M312" s="8">
        <v>18675</v>
      </c>
      <c r="N312" s="8">
        <v>17961</v>
      </c>
      <c r="O312" s="8">
        <v>15976</v>
      </c>
      <c r="P312" s="8">
        <v>14048</v>
      </c>
      <c r="Q312" s="8">
        <v>11026</v>
      </c>
      <c r="R312" s="8">
        <v>7456</v>
      </c>
      <c r="S312" s="8">
        <v>4501</v>
      </c>
      <c r="T312" s="8">
        <v>4314</v>
      </c>
      <c r="U312" s="7">
        <f t="shared" si="16"/>
        <v>29.325572451912734</v>
      </c>
      <c r="V312" s="7">
        <f t="shared" si="17"/>
        <v>65.371629328831503</v>
      </c>
      <c r="W312" s="7">
        <f t="shared" si="18"/>
        <v>5.3027982192557639</v>
      </c>
      <c r="X312" s="7">
        <f>SUM(I312:L312)/D312*100</f>
        <v>31.051890574179208</v>
      </c>
      <c r="Y312" s="7">
        <f t="shared" si="19"/>
        <v>52.97155819228756</v>
      </c>
    </row>
    <row r="313" spans="1:25" x14ac:dyDescent="0.25">
      <c r="A313" s="57">
        <v>5320</v>
      </c>
      <c r="B313" t="s">
        <v>64</v>
      </c>
      <c r="C313" t="s">
        <v>391</v>
      </c>
      <c r="D313" s="8">
        <v>97742</v>
      </c>
      <c r="E313" s="8">
        <v>10364</v>
      </c>
      <c r="F313" s="8">
        <v>11282</v>
      </c>
      <c r="G313" s="8">
        <v>10557</v>
      </c>
      <c r="H313" s="8">
        <v>8864</v>
      </c>
      <c r="I313" s="8">
        <v>7451</v>
      </c>
      <c r="J313" s="8">
        <v>7598</v>
      </c>
      <c r="K313" s="8">
        <v>7767</v>
      </c>
      <c r="L313" s="8">
        <v>6852</v>
      </c>
      <c r="M313" s="8">
        <v>5633</v>
      </c>
      <c r="N313" s="8">
        <v>4808</v>
      </c>
      <c r="O313" s="8">
        <v>4132</v>
      </c>
      <c r="P313" s="8">
        <v>3341</v>
      </c>
      <c r="Q313" s="8">
        <v>2633</v>
      </c>
      <c r="R313" s="8">
        <v>2178</v>
      </c>
      <c r="S313" s="8">
        <v>1842</v>
      </c>
      <c r="T313" s="8">
        <v>2440</v>
      </c>
      <c r="U313" s="7">
        <f t="shared" si="16"/>
        <v>32.94694194921324</v>
      </c>
      <c r="V313" s="7">
        <f t="shared" si="17"/>
        <v>60.443821489226735</v>
      </c>
      <c r="W313" s="7">
        <f t="shared" si="18"/>
        <v>6.6092365615600253</v>
      </c>
      <c r="X313" s="7">
        <f>SUM(I313:L313)/D313*100</f>
        <v>30.35337930470013</v>
      </c>
      <c r="Y313" s="7">
        <f t="shared" si="19"/>
        <v>65.442881565361631</v>
      </c>
    </row>
    <row r="314" spans="1:25" x14ac:dyDescent="0.25">
      <c r="A314" s="57">
        <v>5321</v>
      </c>
      <c r="B314" t="s">
        <v>64</v>
      </c>
      <c r="C314" t="s">
        <v>392</v>
      </c>
      <c r="D314" s="8">
        <v>198496</v>
      </c>
      <c r="E314" s="8">
        <v>19754</v>
      </c>
      <c r="F314" s="8">
        <v>16688</v>
      </c>
      <c r="G314" s="8">
        <v>16493</v>
      </c>
      <c r="H314" s="8">
        <v>18276</v>
      </c>
      <c r="I314" s="8">
        <v>17246</v>
      </c>
      <c r="J314" s="8">
        <v>17320</v>
      </c>
      <c r="K314" s="8">
        <v>16468</v>
      </c>
      <c r="L314" s="8">
        <v>12824</v>
      </c>
      <c r="M314" s="8">
        <v>11108</v>
      </c>
      <c r="N314" s="8">
        <v>10271</v>
      </c>
      <c r="O314" s="8">
        <v>9438</v>
      </c>
      <c r="P314" s="8">
        <v>8775</v>
      </c>
      <c r="Q314" s="8">
        <v>7518</v>
      </c>
      <c r="R314" s="8">
        <v>6070</v>
      </c>
      <c r="S314" s="8">
        <v>4584</v>
      </c>
      <c r="T314" s="8">
        <v>5663</v>
      </c>
      <c r="U314" s="7">
        <f t="shared" si="16"/>
        <v>26.668043688537807</v>
      </c>
      <c r="V314" s="7">
        <f t="shared" si="17"/>
        <v>65.111639529260032</v>
      </c>
      <c r="W314" s="7">
        <f t="shared" si="18"/>
        <v>8.2203167822021594</v>
      </c>
      <c r="X314" s="7">
        <f>SUM(I314:L314)/D314*100</f>
        <v>32.170925358697403</v>
      </c>
      <c r="Y314" s="7">
        <f t="shared" si="19"/>
        <v>53.582371328649678</v>
      </c>
    </row>
    <row r="315" spans="1:25" x14ac:dyDescent="0.25">
      <c r="A315" s="57">
        <v>5371</v>
      </c>
      <c r="B315" t="s">
        <v>64</v>
      </c>
      <c r="C315" t="s">
        <v>393</v>
      </c>
      <c r="D315" s="8">
        <v>490393</v>
      </c>
      <c r="E315" s="8">
        <v>50260</v>
      </c>
      <c r="F315" s="8">
        <v>45374</v>
      </c>
      <c r="G315" s="8">
        <v>35986</v>
      </c>
      <c r="H315" s="8">
        <v>30522</v>
      </c>
      <c r="I315" s="8">
        <v>34880</v>
      </c>
      <c r="J315" s="8">
        <v>40625</v>
      </c>
      <c r="K315" s="8">
        <v>48056</v>
      </c>
      <c r="L315" s="8">
        <v>46810</v>
      </c>
      <c r="M315" s="8">
        <v>40799</v>
      </c>
      <c r="N315" s="8">
        <v>33148</v>
      </c>
      <c r="O315" s="8">
        <v>25483</v>
      </c>
      <c r="P315" s="8">
        <v>19944</v>
      </c>
      <c r="Q315" s="8">
        <v>15206</v>
      </c>
      <c r="R315" s="8">
        <v>10677</v>
      </c>
      <c r="S315" s="8">
        <v>6634</v>
      </c>
      <c r="T315" s="8">
        <v>5989</v>
      </c>
      <c r="U315" s="7">
        <f t="shared" si="16"/>
        <v>26.839697956536902</v>
      </c>
      <c r="V315" s="7">
        <f t="shared" si="17"/>
        <v>68.409010732208657</v>
      </c>
      <c r="W315" s="7">
        <f t="shared" si="18"/>
        <v>4.7512913112544428</v>
      </c>
      <c r="X315" s="7">
        <f>SUM(I315:L315)/D315*100</f>
        <v>34.741727553207326</v>
      </c>
      <c r="Y315" s="7">
        <f t="shared" si="19"/>
        <v>46.179573318866197</v>
      </c>
    </row>
    <row r="316" spans="1:25" x14ac:dyDescent="0.25">
      <c r="A316" s="57">
        <v>6101</v>
      </c>
      <c r="B316" t="s">
        <v>65</v>
      </c>
      <c r="C316" t="s">
        <v>394</v>
      </c>
      <c r="D316" s="8">
        <v>667834</v>
      </c>
      <c r="E316" s="8">
        <v>56566</v>
      </c>
      <c r="F316" s="8">
        <v>56053</v>
      </c>
      <c r="G316" s="8">
        <v>55918</v>
      </c>
      <c r="H316" s="8">
        <v>56305</v>
      </c>
      <c r="I316" s="8">
        <v>53622</v>
      </c>
      <c r="J316" s="8">
        <v>50123</v>
      </c>
      <c r="K316" s="8">
        <v>47394</v>
      </c>
      <c r="L316" s="8">
        <v>47877</v>
      </c>
      <c r="M316" s="8">
        <v>49296</v>
      </c>
      <c r="N316" s="8">
        <v>46405</v>
      </c>
      <c r="O316" s="8">
        <v>41599</v>
      </c>
      <c r="P316" s="8">
        <v>32722</v>
      </c>
      <c r="Q316" s="8">
        <v>25565</v>
      </c>
      <c r="R316" s="8">
        <v>20268</v>
      </c>
      <c r="S316" s="8">
        <v>14882</v>
      </c>
      <c r="T316" s="8">
        <v>13239</v>
      </c>
      <c r="U316" s="7">
        <f t="shared" si="16"/>
        <v>25.236361131658462</v>
      </c>
      <c r="V316" s="7">
        <f t="shared" si="17"/>
        <v>67.517976023982001</v>
      </c>
      <c r="W316" s="7">
        <f t="shared" si="18"/>
        <v>7.2456628443595266</v>
      </c>
      <c r="X316" s="7">
        <f>SUM(I316:L316)/D316*100</f>
        <v>29.800219815103752</v>
      </c>
      <c r="Y316" s="7">
        <f t="shared" si="19"/>
        <v>48.108705101705887</v>
      </c>
    </row>
    <row r="317" spans="1:25" x14ac:dyDescent="0.25">
      <c r="A317" s="57">
        <v>6102</v>
      </c>
      <c r="B317" t="s">
        <v>65</v>
      </c>
      <c r="C317" t="s">
        <v>395</v>
      </c>
      <c r="D317" s="8">
        <v>312147</v>
      </c>
      <c r="E317" s="8">
        <v>27150</v>
      </c>
      <c r="F317" s="8">
        <v>25746</v>
      </c>
      <c r="G317" s="8">
        <v>25504</v>
      </c>
      <c r="H317" s="8">
        <v>26089</v>
      </c>
      <c r="I317" s="8">
        <v>26583</v>
      </c>
      <c r="J317" s="8">
        <v>26759</v>
      </c>
      <c r="K317" s="8">
        <v>25897</v>
      </c>
      <c r="L317" s="8">
        <v>25815</v>
      </c>
      <c r="M317" s="8">
        <v>22724</v>
      </c>
      <c r="N317" s="8">
        <v>20201</v>
      </c>
      <c r="O317" s="8">
        <v>17159</v>
      </c>
      <c r="P317" s="8">
        <v>13505</v>
      </c>
      <c r="Q317" s="8">
        <v>10578</v>
      </c>
      <c r="R317" s="8">
        <v>8018</v>
      </c>
      <c r="S317" s="8">
        <v>5495</v>
      </c>
      <c r="T317" s="8">
        <v>4924</v>
      </c>
      <c r="U317" s="7">
        <f t="shared" si="16"/>
        <v>25.116371453193526</v>
      </c>
      <c r="V317" s="7">
        <f t="shared" si="17"/>
        <v>68.97711655085584</v>
      </c>
      <c r="W317" s="7">
        <f t="shared" si="18"/>
        <v>5.906511995950626</v>
      </c>
      <c r="X317" s="7">
        <f>SUM(I317:L317)/D317*100</f>
        <v>33.655297023517768</v>
      </c>
      <c r="Y317" s="7">
        <f t="shared" si="19"/>
        <v>44.975616552877248</v>
      </c>
    </row>
    <row r="318" spans="1:25" x14ac:dyDescent="0.25">
      <c r="A318" s="57">
        <v>6103</v>
      </c>
      <c r="B318" t="s">
        <v>65</v>
      </c>
      <c r="C318" t="s">
        <v>396</v>
      </c>
      <c r="D318" s="8">
        <v>429744</v>
      </c>
      <c r="E318" s="8">
        <v>37765</v>
      </c>
      <c r="F318" s="8">
        <v>36234</v>
      </c>
      <c r="G318" s="8">
        <v>35448</v>
      </c>
      <c r="H318" s="8">
        <v>34489</v>
      </c>
      <c r="I318" s="8">
        <v>35517</v>
      </c>
      <c r="J318" s="8">
        <v>37109</v>
      </c>
      <c r="K318" s="8">
        <v>36140</v>
      </c>
      <c r="L318" s="8">
        <v>35542</v>
      </c>
      <c r="M318" s="8">
        <v>30975</v>
      </c>
      <c r="N318" s="8">
        <v>27278</v>
      </c>
      <c r="O318" s="8">
        <v>23406</v>
      </c>
      <c r="P318" s="8">
        <v>19150</v>
      </c>
      <c r="Q318" s="8">
        <v>15177</v>
      </c>
      <c r="R318" s="8">
        <v>11659</v>
      </c>
      <c r="S318" s="8">
        <v>7417</v>
      </c>
      <c r="T318" s="8">
        <v>6438</v>
      </c>
      <c r="U318" s="7">
        <f t="shared" si="16"/>
        <v>25.467953013887339</v>
      </c>
      <c r="V318" s="7">
        <f t="shared" si="17"/>
        <v>68.595024014296882</v>
      </c>
      <c r="W318" s="7">
        <f t="shared" si="18"/>
        <v>5.9370229718157788</v>
      </c>
      <c r="X318" s="7">
        <f>SUM(I318:L318)/D318*100</f>
        <v>33.579991809077029</v>
      </c>
      <c r="Y318" s="7">
        <f t="shared" si="19"/>
        <v>45.783169314377012</v>
      </c>
    </row>
    <row r="319" spans="1:25" x14ac:dyDescent="0.25">
      <c r="A319" s="57">
        <v>6104</v>
      </c>
      <c r="B319" t="s">
        <v>65</v>
      </c>
      <c r="C319" t="s">
        <v>397</v>
      </c>
      <c r="D319" s="8">
        <v>324456</v>
      </c>
      <c r="E319" s="8">
        <v>27784</v>
      </c>
      <c r="F319" s="8">
        <v>26710</v>
      </c>
      <c r="G319" s="8">
        <v>24756</v>
      </c>
      <c r="H319" s="8">
        <v>24837</v>
      </c>
      <c r="I319" s="8">
        <v>26633</v>
      </c>
      <c r="J319" s="8">
        <v>28326</v>
      </c>
      <c r="K319" s="8">
        <v>26524</v>
      </c>
      <c r="L319" s="8">
        <v>24501</v>
      </c>
      <c r="M319" s="8">
        <v>23101</v>
      </c>
      <c r="N319" s="8">
        <v>21289</v>
      </c>
      <c r="O319" s="8">
        <v>18728</v>
      </c>
      <c r="P319" s="8">
        <v>15260</v>
      </c>
      <c r="Q319" s="8">
        <v>12649</v>
      </c>
      <c r="R319" s="8">
        <v>9678</v>
      </c>
      <c r="S319" s="8">
        <v>6953</v>
      </c>
      <c r="T319" s="8">
        <v>6727</v>
      </c>
      <c r="U319" s="7">
        <f t="shared" si="16"/>
        <v>24.425499913701703</v>
      </c>
      <c r="V319" s="7">
        <f t="shared" si="17"/>
        <v>68.375372931922968</v>
      </c>
      <c r="W319" s="7">
        <f t="shared" si="18"/>
        <v>7.199127154375323</v>
      </c>
      <c r="X319" s="7">
        <f>SUM(I319:L319)/D319*100</f>
        <v>32.66513795399068</v>
      </c>
      <c r="Y319" s="7">
        <f t="shared" si="19"/>
        <v>46.251487504958348</v>
      </c>
    </row>
    <row r="320" spans="1:25" x14ac:dyDescent="0.25">
      <c r="A320" s="57">
        <v>6105</v>
      </c>
      <c r="B320" t="s">
        <v>65</v>
      </c>
      <c r="C320" t="s">
        <v>398</v>
      </c>
      <c r="D320" s="8">
        <v>522799</v>
      </c>
      <c r="E320" s="8">
        <v>44225</v>
      </c>
      <c r="F320" s="8">
        <v>41253</v>
      </c>
      <c r="G320" s="8">
        <v>39863</v>
      </c>
      <c r="H320" s="8">
        <v>39821</v>
      </c>
      <c r="I320" s="8">
        <v>41076</v>
      </c>
      <c r="J320" s="8">
        <v>43451</v>
      </c>
      <c r="K320" s="8">
        <v>41076</v>
      </c>
      <c r="L320" s="8">
        <v>40998</v>
      </c>
      <c r="M320" s="8">
        <v>38891</v>
      </c>
      <c r="N320" s="8">
        <v>37192</v>
      </c>
      <c r="O320" s="8">
        <v>32717</v>
      </c>
      <c r="P320" s="8">
        <v>26436</v>
      </c>
      <c r="Q320" s="8">
        <v>21830</v>
      </c>
      <c r="R320" s="8">
        <v>16032</v>
      </c>
      <c r="S320" s="8">
        <v>10305</v>
      </c>
      <c r="T320" s="8">
        <v>7633</v>
      </c>
      <c r="U320" s="7">
        <f t="shared" si="16"/>
        <v>23.974988475494406</v>
      </c>
      <c r="V320" s="7">
        <f t="shared" si="17"/>
        <v>69.527294428642747</v>
      </c>
      <c r="W320" s="7">
        <f t="shared" si="18"/>
        <v>6.4977170958628454</v>
      </c>
      <c r="X320" s="7">
        <f>SUM(I320:L320)/D320*100</f>
        <v>31.86712292869726</v>
      </c>
      <c r="Y320" s="7">
        <f t="shared" si="19"/>
        <v>43.828406990051946</v>
      </c>
    </row>
    <row r="321" spans="1:25" x14ac:dyDescent="0.25">
      <c r="A321" s="57">
        <v>6106</v>
      </c>
      <c r="B321" t="s">
        <v>65</v>
      </c>
      <c r="C321" t="s">
        <v>399</v>
      </c>
      <c r="D321" s="8">
        <v>613999</v>
      </c>
      <c r="E321" s="8">
        <v>53466</v>
      </c>
      <c r="F321" s="8">
        <v>46681</v>
      </c>
      <c r="G321" s="8">
        <v>45381</v>
      </c>
      <c r="H321" s="8">
        <v>48751</v>
      </c>
      <c r="I321" s="8">
        <v>53310</v>
      </c>
      <c r="J321" s="8">
        <v>51043</v>
      </c>
      <c r="K321" s="8">
        <v>52164</v>
      </c>
      <c r="L321" s="8">
        <v>49936</v>
      </c>
      <c r="M321" s="8">
        <v>46505</v>
      </c>
      <c r="N321" s="8">
        <v>42270</v>
      </c>
      <c r="O321" s="8">
        <v>36538</v>
      </c>
      <c r="P321" s="8">
        <v>30791</v>
      </c>
      <c r="Q321" s="8">
        <v>22973</v>
      </c>
      <c r="R321" s="8">
        <v>15761</v>
      </c>
      <c r="S321" s="8">
        <v>9864</v>
      </c>
      <c r="T321" s="8">
        <v>8565</v>
      </c>
      <c r="U321" s="7">
        <f t="shared" si="16"/>
        <v>23.701667266559063</v>
      </c>
      <c r="V321" s="7">
        <f t="shared" si="17"/>
        <v>70.72991975556964</v>
      </c>
      <c r="W321" s="7">
        <f t="shared" si="18"/>
        <v>5.5684129778712999</v>
      </c>
      <c r="X321" s="7">
        <f>SUM(I321:L321)/D321*100</f>
        <v>33.624321863716389</v>
      </c>
      <c r="Y321" s="7">
        <f t="shared" si="19"/>
        <v>41.382883432616211</v>
      </c>
    </row>
    <row r="322" spans="1:25" x14ac:dyDescent="0.25">
      <c r="A322" s="57">
        <v>6107</v>
      </c>
      <c r="B322" t="s">
        <v>65</v>
      </c>
      <c r="C322" t="s">
        <v>400</v>
      </c>
      <c r="D322" s="8">
        <v>454581</v>
      </c>
      <c r="E322" s="8">
        <v>39762</v>
      </c>
      <c r="F322" s="8">
        <v>38051</v>
      </c>
      <c r="G322" s="8">
        <v>37457</v>
      </c>
      <c r="H322" s="8">
        <v>38074</v>
      </c>
      <c r="I322" s="8">
        <v>36226</v>
      </c>
      <c r="J322" s="8">
        <v>36045</v>
      </c>
      <c r="K322" s="8">
        <v>36803</v>
      </c>
      <c r="L322" s="8">
        <v>36713</v>
      </c>
      <c r="M322" s="8">
        <v>33522</v>
      </c>
      <c r="N322" s="8">
        <v>31187</v>
      </c>
      <c r="O322" s="8">
        <v>26218</v>
      </c>
      <c r="P322" s="8">
        <v>21008</v>
      </c>
      <c r="Q322" s="8">
        <v>16270</v>
      </c>
      <c r="R322" s="8">
        <v>11850</v>
      </c>
      <c r="S322" s="8">
        <v>8080</v>
      </c>
      <c r="T322" s="8">
        <v>7315</v>
      </c>
      <c r="U322" s="7">
        <f t="shared" si="16"/>
        <v>25.35741704998669</v>
      </c>
      <c r="V322" s="7">
        <f t="shared" si="17"/>
        <v>68.64915163634204</v>
      </c>
      <c r="W322" s="7">
        <f t="shared" si="18"/>
        <v>5.9934313136712705</v>
      </c>
      <c r="X322" s="7">
        <f>SUM(I322:L322)/D322*100</f>
        <v>32.070632076571613</v>
      </c>
      <c r="Y322" s="7">
        <f t="shared" si="19"/>
        <v>45.668224029532212</v>
      </c>
    </row>
    <row r="323" spans="1:25" x14ac:dyDescent="0.25">
      <c r="A323" s="57">
        <v>6108</v>
      </c>
      <c r="B323" t="s">
        <v>65</v>
      </c>
      <c r="C323" t="s">
        <v>401</v>
      </c>
      <c r="D323" s="8">
        <v>272260</v>
      </c>
      <c r="E323" s="8">
        <v>22861</v>
      </c>
      <c r="F323" s="8">
        <v>22417</v>
      </c>
      <c r="G323" s="8">
        <v>21392</v>
      </c>
      <c r="H323" s="8">
        <v>22578</v>
      </c>
      <c r="I323" s="8">
        <v>22254</v>
      </c>
      <c r="J323" s="8">
        <v>21053</v>
      </c>
      <c r="K323" s="8">
        <v>20782</v>
      </c>
      <c r="L323" s="8">
        <v>20648</v>
      </c>
      <c r="M323" s="8">
        <v>20165</v>
      </c>
      <c r="N323" s="8">
        <v>19006</v>
      </c>
      <c r="O323" s="8">
        <v>17138</v>
      </c>
      <c r="P323" s="8">
        <v>14188</v>
      </c>
      <c r="Q323" s="8">
        <v>10977</v>
      </c>
      <c r="R323" s="8">
        <v>7807</v>
      </c>
      <c r="S323" s="8">
        <v>4936</v>
      </c>
      <c r="T323" s="8">
        <v>4058</v>
      </c>
      <c r="U323" s="7">
        <f t="shared" ref="U323:U386" si="20">SUM(E323:G323)/D323*100</f>
        <v>24.487622125909059</v>
      </c>
      <c r="V323" s="7">
        <f t="shared" ref="V323:V386" si="21">SUM(H323:Q323)/D323*100</f>
        <v>69.341438331007126</v>
      </c>
      <c r="W323" s="7">
        <f t="shared" ref="W323:W386" si="22">SUM(R323:T323)/D323*100</f>
        <v>6.1709395430838168</v>
      </c>
      <c r="X323" s="7">
        <f>SUM(I323:L323)/D323*100</f>
        <v>31.123558363329167</v>
      </c>
      <c r="Y323" s="7">
        <f t="shared" ref="Y323:Y386" si="23">SUM(E323:G323,R323:T323)/SUM(H323:Q323)*100</f>
        <v>44.213910768106189</v>
      </c>
    </row>
    <row r="324" spans="1:25" x14ac:dyDescent="0.25">
      <c r="A324" s="57">
        <v>6109</v>
      </c>
      <c r="B324" t="s">
        <v>65</v>
      </c>
      <c r="C324" t="s">
        <v>402</v>
      </c>
      <c r="D324" s="8">
        <v>227866</v>
      </c>
      <c r="E324" s="8">
        <v>19508</v>
      </c>
      <c r="F324" s="8">
        <v>18248</v>
      </c>
      <c r="G324" s="8">
        <v>18308</v>
      </c>
      <c r="H324" s="8">
        <v>18009</v>
      </c>
      <c r="I324" s="8">
        <v>18167</v>
      </c>
      <c r="J324" s="8">
        <v>18258</v>
      </c>
      <c r="K324" s="8">
        <v>18645</v>
      </c>
      <c r="L324" s="8">
        <v>18959</v>
      </c>
      <c r="M324" s="8">
        <v>17073</v>
      </c>
      <c r="N324" s="8">
        <v>15217</v>
      </c>
      <c r="O324" s="8">
        <v>13248</v>
      </c>
      <c r="P324" s="8">
        <v>11024</v>
      </c>
      <c r="Q324" s="8">
        <v>8846</v>
      </c>
      <c r="R324" s="8">
        <v>6415</v>
      </c>
      <c r="S324" s="8">
        <v>4340</v>
      </c>
      <c r="T324" s="8">
        <v>3601</v>
      </c>
      <c r="U324" s="7">
        <f t="shared" si="20"/>
        <v>24.603933890971007</v>
      </c>
      <c r="V324" s="7">
        <f t="shared" si="21"/>
        <v>69.095872135377817</v>
      </c>
      <c r="W324" s="7">
        <f t="shared" si="22"/>
        <v>6.3001939736511803</v>
      </c>
      <c r="X324" s="7">
        <f>SUM(I324:L324)/D324*100</f>
        <v>32.487953446323715</v>
      </c>
      <c r="Y324" s="7">
        <f t="shared" si="23"/>
        <v>44.726445892559994</v>
      </c>
    </row>
    <row r="325" spans="1:25" x14ac:dyDescent="0.25">
      <c r="A325" s="57">
        <v>6110</v>
      </c>
      <c r="B325" t="s">
        <v>65</v>
      </c>
      <c r="C325" t="s">
        <v>403</v>
      </c>
      <c r="D325" s="8">
        <v>250492</v>
      </c>
      <c r="E325" s="8">
        <v>22728</v>
      </c>
      <c r="F325" s="8">
        <v>18812</v>
      </c>
      <c r="G325" s="8">
        <v>17624</v>
      </c>
      <c r="H325" s="8">
        <v>19404</v>
      </c>
      <c r="I325" s="8">
        <v>20473</v>
      </c>
      <c r="J325" s="8">
        <v>20782</v>
      </c>
      <c r="K325" s="8">
        <v>20766</v>
      </c>
      <c r="L325" s="8">
        <v>21276</v>
      </c>
      <c r="M325" s="8">
        <v>19690</v>
      </c>
      <c r="N325" s="8">
        <v>17992</v>
      </c>
      <c r="O325" s="8">
        <v>14580</v>
      </c>
      <c r="P325" s="8">
        <v>12321</v>
      </c>
      <c r="Q325" s="8">
        <v>9257</v>
      </c>
      <c r="R325" s="8">
        <v>6815</v>
      </c>
      <c r="S325" s="8">
        <v>4281</v>
      </c>
      <c r="T325" s="8">
        <v>3691</v>
      </c>
      <c r="U325" s="7">
        <f t="shared" si="20"/>
        <v>23.619117576609234</v>
      </c>
      <c r="V325" s="7">
        <f t="shared" si="21"/>
        <v>70.477699886623128</v>
      </c>
      <c r="W325" s="7">
        <f t="shared" si="22"/>
        <v>5.9031825367676412</v>
      </c>
      <c r="X325" s="7">
        <f>SUM(I325:L325)/D325*100</f>
        <v>33.25335739265126</v>
      </c>
      <c r="Y325" s="7">
        <f t="shared" si="23"/>
        <v>41.888853014313952</v>
      </c>
    </row>
    <row r="326" spans="1:25" x14ac:dyDescent="0.25">
      <c r="A326" s="57">
        <v>6111</v>
      </c>
      <c r="B326" t="s">
        <v>65</v>
      </c>
      <c r="C326" t="s">
        <v>404</v>
      </c>
      <c r="D326" s="8">
        <v>139479</v>
      </c>
      <c r="E326" s="8">
        <v>12730</v>
      </c>
      <c r="F326" s="8">
        <v>11606</v>
      </c>
      <c r="G326" s="8">
        <v>10383</v>
      </c>
      <c r="H326" s="8">
        <v>11927</v>
      </c>
      <c r="I326" s="8">
        <v>11978</v>
      </c>
      <c r="J326" s="8">
        <v>11821</v>
      </c>
      <c r="K326" s="8">
        <v>11444</v>
      </c>
      <c r="L326" s="8">
        <v>10951</v>
      </c>
      <c r="M326" s="8">
        <v>10538</v>
      </c>
      <c r="N326" s="8">
        <v>9160</v>
      </c>
      <c r="O326" s="8">
        <v>7718</v>
      </c>
      <c r="P326" s="8">
        <v>6155</v>
      </c>
      <c r="Q326" s="8">
        <v>4887</v>
      </c>
      <c r="R326" s="8">
        <v>3629</v>
      </c>
      <c r="S326" s="8">
        <v>2487</v>
      </c>
      <c r="T326" s="8">
        <v>2065</v>
      </c>
      <c r="U326" s="7">
        <f t="shared" si="20"/>
        <v>24.891919213645064</v>
      </c>
      <c r="V326" s="7">
        <f t="shared" si="21"/>
        <v>69.242681694018458</v>
      </c>
      <c r="W326" s="7">
        <f t="shared" si="22"/>
        <v>5.8653990923364807</v>
      </c>
      <c r="X326" s="7">
        <f>SUM(I326:L326)/D326*100</f>
        <v>33.118964145140126</v>
      </c>
      <c r="Y326" s="7">
        <f t="shared" si="23"/>
        <v>44.419594321746963</v>
      </c>
    </row>
    <row r="327" spans="1:25" x14ac:dyDescent="0.25">
      <c r="A327" s="57">
        <v>6112</v>
      </c>
      <c r="B327" t="s">
        <v>65</v>
      </c>
      <c r="C327" t="s">
        <v>405</v>
      </c>
      <c r="D327" s="8">
        <v>670755</v>
      </c>
      <c r="E327" s="8">
        <v>59170</v>
      </c>
      <c r="F327" s="8">
        <v>56033</v>
      </c>
      <c r="G327" s="8">
        <v>54628</v>
      </c>
      <c r="H327" s="8">
        <v>54633</v>
      </c>
      <c r="I327" s="8">
        <v>52487</v>
      </c>
      <c r="J327" s="8">
        <v>57693</v>
      </c>
      <c r="K327" s="8">
        <v>56964</v>
      </c>
      <c r="L327" s="8">
        <v>52854</v>
      </c>
      <c r="M327" s="8">
        <v>47518</v>
      </c>
      <c r="N327" s="8">
        <v>43067</v>
      </c>
      <c r="O327" s="8">
        <v>38248</v>
      </c>
      <c r="P327" s="8">
        <v>32396</v>
      </c>
      <c r="Q327" s="8">
        <v>25639</v>
      </c>
      <c r="R327" s="8">
        <v>17412</v>
      </c>
      <c r="S327" s="8">
        <v>11487</v>
      </c>
      <c r="T327" s="8">
        <v>10526</v>
      </c>
      <c r="U327" s="7">
        <f t="shared" si="20"/>
        <v>25.319378908841529</v>
      </c>
      <c r="V327" s="7">
        <f t="shared" si="21"/>
        <v>68.802916116913025</v>
      </c>
      <c r="W327" s="7">
        <f t="shared" si="22"/>
        <v>5.8777049742454404</v>
      </c>
      <c r="X327" s="7">
        <f>SUM(I327:L327)/D327*100</f>
        <v>32.798562813545928</v>
      </c>
      <c r="Y327" s="7">
        <f t="shared" si="23"/>
        <v>45.342676798866307</v>
      </c>
    </row>
    <row r="328" spans="1:25" x14ac:dyDescent="0.25">
      <c r="A328" s="57">
        <v>6171</v>
      </c>
      <c r="B328" t="s">
        <v>65</v>
      </c>
      <c r="C328" t="s">
        <v>406</v>
      </c>
      <c r="D328" s="8">
        <v>690969</v>
      </c>
      <c r="E328" s="8">
        <v>53213</v>
      </c>
      <c r="F328" s="8">
        <v>55975</v>
      </c>
      <c r="G328" s="8">
        <v>54246</v>
      </c>
      <c r="H328" s="8">
        <v>54040</v>
      </c>
      <c r="I328" s="8">
        <v>53567</v>
      </c>
      <c r="J328" s="8">
        <v>55547</v>
      </c>
      <c r="K328" s="8">
        <v>54013</v>
      </c>
      <c r="L328" s="8">
        <v>51519</v>
      </c>
      <c r="M328" s="8">
        <v>51149</v>
      </c>
      <c r="N328" s="8">
        <v>47509</v>
      </c>
      <c r="O328" s="8">
        <v>43515</v>
      </c>
      <c r="P328" s="8">
        <v>36415</v>
      </c>
      <c r="Q328" s="8">
        <v>29395</v>
      </c>
      <c r="R328" s="8">
        <v>21257</v>
      </c>
      <c r="S328" s="8">
        <v>15282</v>
      </c>
      <c r="T328" s="8">
        <v>14327</v>
      </c>
      <c r="U328" s="7">
        <f t="shared" si="20"/>
        <v>23.652870099816344</v>
      </c>
      <c r="V328" s="7">
        <f t="shared" si="21"/>
        <v>68.985584013175711</v>
      </c>
      <c r="W328" s="7">
        <f t="shared" si="22"/>
        <v>7.3615458870079555</v>
      </c>
      <c r="X328" s="7">
        <f>SUM(I328:L328)/D328*100</f>
        <v>31.064490592197338</v>
      </c>
      <c r="Y328" s="7">
        <f t="shared" si="23"/>
        <v>44.957821884787975</v>
      </c>
    </row>
    <row r="329" spans="1:25" x14ac:dyDescent="0.25">
      <c r="A329" s="57">
        <v>6172</v>
      </c>
      <c r="B329" t="s">
        <v>65</v>
      </c>
      <c r="C329" t="s">
        <v>407</v>
      </c>
      <c r="D329" s="8">
        <v>257574</v>
      </c>
      <c r="E329" s="8">
        <v>22998</v>
      </c>
      <c r="F329" s="8">
        <v>23641</v>
      </c>
      <c r="G329" s="8">
        <v>21417</v>
      </c>
      <c r="H329" s="8">
        <v>20583</v>
      </c>
      <c r="I329" s="8">
        <v>19530</v>
      </c>
      <c r="J329" s="8">
        <v>20664</v>
      </c>
      <c r="K329" s="8">
        <v>22021</v>
      </c>
      <c r="L329" s="8">
        <v>20511</v>
      </c>
      <c r="M329" s="8">
        <v>18191</v>
      </c>
      <c r="N329" s="8">
        <v>15977</v>
      </c>
      <c r="O329" s="8">
        <v>13891</v>
      </c>
      <c r="P329" s="8">
        <v>11247</v>
      </c>
      <c r="Q329" s="8">
        <v>9402</v>
      </c>
      <c r="R329" s="8">
        <v>7254</v>
      </c>
      <c r="S329" s="8">
        <v>5283</v>
      </c>
      <c r="T329" s="8">
        <v>4964</v>
      </c>
      <c r="U329" s="7">
        <f t="shared" si="20"/>
        <v>26.421921467228838</v>
      </c>
      <c r="V329" s="7">
        <f t="shared" si="21"/>
        <v>66.783526287591144</v>
      </c>
      <c r="W329" s="7">
        <f t="shared" si="22"/>
        <v>6.794552245180026</v>
      </c>
      <c r="X329" s="7">
        <f>SUM(I329:L329)/D329*100</f>
        <v>32.117372095009586</v>
      </c>
      <c r="Y329" s="7">
        <f t="shared" si="23"/>
        <v>49.737525942203384</v>
      </c>
    </row>
    <row r="330" spans="1:25" x14ac:dyDescent="0.25">
      <c r="A330" s="57">
        <v>6201</v>
      </c>
      <c r="B330" t="s">
        <v>66</v>
      </c>
      <c r="C330" t="s">
        <v>408</v>
      </c>
      <c r="D330" s="8">
        <v>288560</v>
      </c>
      <c r="E330" s="8">
        <v>24100</v>
      </c>
      <c r="F330" s="8">
        <v>25142</v>
      </c>
      <c r="G330" s="8">
        <v>22744</v>
      </c>
      <c r="H330" s="8">
        <v>22441</v>
      </c>
      <c r="I330" s="8">
        <v>20905</v>
      </c>
      <c r="J330" s="8">
        <v>22610</v>
      </c>
      <c r="K330" s="8">
        <v>22611</v>
      </c>
      <c r="L330" s="8">
        <v>21930</v>
      </c>
      <c r="M330" s="8">
        <v>22186</v>
      </c>
      <c r="N330" s="8">
        <v>21496</v>
      </c>
      <c r="O330" s="8">
        <v>18885</v>
      </c>
      <c r="P330" s="8">
        <v>15067</v>
      </c>
      <c r="Q330" s="8">
        <v>11684</v>
      </c>
      <c r="R330" s="8">
        <v>7780</v>
      </c>
      <c r="S330" s="8">
        <v>4805</v>
      </c>
      <c r="T330" s="8">
        <v>4174</v>
      </c>
      <c r="U330" s="7">
        <f t="shared" si="20"/>
        <v>24.946631549764348</v>
      </c>
      <c r="V330" s="7">
        <f t="shared" si="21"/>
        <v>69.245564180759629</v>
      </c>
      <c r="W330" s="7">
        <f t="shared" si="22"/>
        <v>5.8078042694760192</v>
      </c>
      <c r="X330" s="7">
        <f>SUM(I330:L330)/D330*100</f>
        <v>30.515663986692545</v>
      </c>
      <c r="Y330" s="7">
        <f t="shared" si="23"/>
        <v>44.413582563871579</v>
      </c>
    </row>
    <row r="331" spans="1:25" x14ac:dyDescent="0.25">
      <c r="A331" s="57">
        <v>6202</v>
      </c>
      <c r="B331" t="s">
        <v>66</v>
      </c>
      <c r="C331" t="s">
        <v>409</v>
      </c>
      <c r="D331" s="8">
        <v>457424</v>
      </c>
      <c r="E331" s="8">
        <v>39649</v>
      </c>
      <c r="F331" s="8">
        <v>33629</v>
      </c>
      <c r="G331" s="8">
        <v>34460</v>
      </c>
      <c r="H331" s="8">
        <v>37702</v>
      </c>
      <c r="I331" s="8">
        <v>38687</v>
      </c>
      <c r="J331" s="8">
        <v>38225</v>
      </c>
      <c r="K331" s="8">
        <v>37649</v>
      </c>
      <c r="L331" s="8">
        <v>37070</v>
      </c>
      <c r="M331" s="8">
        <v>35072</v>
      </c>
      <c r="N331" s="8">
        <v>32751</v>
      </c>
      <c r="O331" s="8">
        <v>27987</v>
      </c>
      <c r="P331" s="8">
        <v>22251</v>
      </c>
      <c r="Q331" s="8">
        <v>16979</v>
      </c>
      <c r="R331" s="8">
        <v>11636</v>
      </c>
      <c r="S331" s="8">
        <v>7130</v>
      </c>
      <c r="T331" s="8">
        <v>6547</v>
      </c>
      <c r="U331" s="7">
        <f t="shared" si="20"/>
        <v>23.553202280597432</v>
      </c>
      <c r="V331" s="7">
        <f t="shared" si="21"/>
        <v>70.912982265906464</v>
      </c>
      <c r="W331" s="7">
        <f t="shared" si="22"/>
        <v>5.5338154534960999</v>
      </c>
      <c r="X331" s="7">
        <f>SUM(I331:L331)/D331*100</f>
        <v>33.148894679771942</v>
      </c>
      <c r="Y331" s="7">
        <f t="shared" si="23"/>
        <v>41.017902229840338</v>
      </c>
    </row>
    <row r="332" spans="1:25" x14ac:dyDescent="0.25">
      <c r="A332" s="57">
        <v>6203</v>
      </c>
      <c r="B332" t="s">
        <v>66</v>
      </c>
      <c r="C332" t="s">
        <v>410</v>
      </c>
      <c r="D332" s="8">
        <v>439795</v>
      </c>
      <c r="E332" s="8">
        <v>40954</v>
      </c>
      <c r="F332" s="8">
        <v>30072</v>
      </c>
      <c r="G332" s="8">
        <v>30714</v>
      </c>
      <c r="H332" s="8">
        <v>34164</v>
      </c>
      <c r="I332" s="8">
        <v>37210</v>
      </c>
      <c r="J332" s="8">
        <v>38161</v>
      </c>
      <c r="K332" s="8">
        <v>36330</v>
      </c>
      <c r="L332" s="8">
        <v>34970</v>
      </c>
      <c r="M332" s="8">
        <v>31890</v>
      </c>
      <c r="N332" s="8">
        <v>29598</v>
      </c>
      <c r="O332" s="8">
        <v>26549</v>
      </c>
      <c r="P332" s="8">
        <v>22665</v>
      </c>
      <c r="Q332" s="8">
        <v>17567</v>
      </c>
      <c r="R332" s="8">
        <v>12693</v>
      </c>
      <c r="S332" s="8">
        <v>8024</v>
      </c>
      <c r="T332" s="8">
        <v>8234</v>
      </c>
      <c r="U332" s="7">
        <f t="shared" si="20"/>
        <v>23.133505383189895</v>
      </c>
      <c r="V332" s="7">
        <f t="shared" si="21"/>
        <v>70.28365488466217</v>
      </c>
      <c r="W332" s="7">
        <f t="shared" si="22"/>
        <v>6.5828397321479324</v>
      </c>
      <c r="X332" s="7">
        <f>SUM(I332:L332)/D332*100</f>
        <v>33.349856182994344</v>
      </c>
      <c r="Y332" s="7">
        <f t="shared" si="23"/>
        <v>42.280591645530308</v>
      </c>
    </row>
    <row r="333" spans="1:25" x14ac:dyDescent="0.25">
      <c r="A333" s="57">
        <v>6204</v>
      </c>
      <c r="B333" t="s">
        <v>66</v>
      </c>
      <c r="C333" t="s">
        <v>411</v>
      </c>
      <c r="D333" s="8">
        <v>138163</v>
      </c>
      <c r="E333" s="8">
        <v>11372</v>
      </c>
      <c r="F333" s="8">
        <v>10888</v>
      </c>
      <c r="G333" s="8">
        <v>9703</v>
      </c>
      <c r="H333" s="8">
        <v>10566</v>
      </c>
      <c r="I333" s="8">
        <v>11611</v>
      </c>
      <c r="J333" s="8">
        <v>11332</v>
      </c>
      <c r="K333" s="8">
        <v>10385</v>
      </c>
      <c r="L333" s="8">
        <v>10169</v>
      </c>
      <c r="M333" s="8">
        <v>10060</v>
      </c>
      <c r="N333" s="8">
        <v>9888</v>
      </c>
      <c r="O333" s="8">
        <v>9082</v>
      </c>
      <c r="P333" s="8">
        <v>7510</v>
      </c>
      <c r="Q333" s="8">
        <v>5933</v>
      </c>
      <c r="R333" s="8">
        <v>4370</v>
      </c>
      <c r="S333" s="8">
        <v>2752</v>
      </c>
      <c r="T333" s="8">
        <v>2542</v>
      </c>
      <c r="U333" s="7">
        <f t="shared" si="20"/>
        <v>23.134268943204766</v>
      </c>
      <c r="V333" s="7">
        <f t="shared" si="21"/>
        <v>69.87109428718253</v>
      </c>
      <c r="W333" s="7">
        <f t="shared" si="22"/>
        <v>6.9946367696127041</v>
      </c>
      <c r="X333" s="7">
        <f>SUM(I333:L333)/D333*100</f>
        <v>31.482379508261982</v>
      </c>
      <c r="Y333" s="7">
        <f t="shared" si="23"/>
        <v>43.120701085605369</v>
      </c>
    </row>
    <row r="334" spans="1:25" x14ac:dyDescent="0.25">
      <c r="A334" s="57">
        <v>6205</v>
      </c>
      <c r="B334" t="s">
        <v>66</v>
      </c>
      <c r="C334" t="s">
        <v>412</v>
      </c>
      <c r="D334" s="8">
        <v>166579</v>
      </c>
      <c r="E334" s="8">
        <v>14580</v>
      </c>
      <c r="F334" s="8">
        <v>12995</v>
      </c>
      <c r="G334" s="8">
        <v>11708</v>
      </c>
      <c r="H334" s="8">
        <v>12449</v>
      </c>
      <c r="I334" s="8">
        <v>14473</v>
      </c>
      <c r="J334" s="8">
        <v>15205</v>
      </c>
      <c r="K334" s="8">
        <v>14216</v>
      </c>
      <c r="L334" s="8">
        <v>13082</v>
      </c>
      <c r="M334" s="8">
        <v>12267</v>
      </c>
      <c r="N334" s="8">
        <v>11175</v>
      </c>
      <c r="O334" s="8">
        <v>9870</v>
      </c>
      <c r="P334" s="8">
        <v>8206</v>
      </c>
      <c r="Q334" s="8">
        <v>6499</v>
      </c>
      <c r="R334" s="8">
        <v>4459</v>
      </c>
      <c r="S334" s="8">
        <v>2811</v>
      </c>
      <c r="T334" s="8">
        <v>2584</v>
      </c>
      <c r="U334" s="7">
        <f t="shared" si="20"/>
        <v>23.582204239429942</v>
      </c>
      <c r="V334" s="7">
        <f t="shared" si="21"/>
        <v>70.502284201489985</v>
      </c>
      <c r="W334" s="7">
        <f t="shared" si="22"/>
        <v>5.915511559080076</v>
      </c>
      <c r="X334" s="7">
        <f>SUM(I334:L334)/D334*100</f>
        <v>34.203591088912766</v>
      </c>
      <c r="Y334" s="7">
        <f t="shared" si="23"/>
        <v>41.839376032424511</v>
      </c>
    </row>
    <row r="335" spans="1:25" x14ac:dyDescent="0.25">
      <c r="A335" s="57">
        <v>6206</v>
      </c>
      <c r="B335" t="s">
        <v>66</v>
      </c>
      <c r="C335" t="s">
        <v>413</v>
      </c>
      <c r="D335" s="8">
        <v>70142</v>
      </c>
      <c r="E335" s="8">
        <v>5982</v>
      </c>
      <c r="F335" s="8">
        <v>5841</v>
      </c>
      <c r="G335" s="8">
        <v>5244</v>
      </c>
      <c r="H335" s="8">
        <v>5358</v>
      </c>
      <c r="I335" s="8">
        <v>5734</v>
      </c>
      <c r="J335" s="8">
        <v>6073</v>
      </c>
      <c r="K335" s="8">
        <v>5938</v>
      </c>
      <c r="L335" s="8">
        <v>6042</v>
      </c>
      <c r="M335" s="8">
        <v>5834</v>
      </c>
      <c r="N335" s="8">
        <v>5091</v>
      </c>
      <c r="O335" s="8">
        <v>4230</v>
      </c>
      <c r="P335" s="8">
        <v>3237</v>
      </c>
      <c r="Q335" s="8">
        <v>2330</v>
      </c>
      <c r="R335" s="8">
        <v>1513</v>
      </c>
      <c r="S335" s="8">
        <v>894</v>
      </c>
      <c r="T335" s="8">
        <v>801</v>
      </c>
      <c r="U335" s="7">
        <f t="shared" si="20"/>
        <v>24.332069230988566</v>
      </c>
      <c r="V335" s="7">
        <f t="shared" si="21"/>
        <v>71.094351458469959</v>
      </c>
      <c r="W335" s="7">
        <f t="shared" si="22"/>
        <v>4.573579310541473</v>
      </c>
      <c r="X335" s="7">
        <f>SUM(I335:L335)/D335*100</f>
        <v>33.912634370277438</v>
      </c>
      <c r="Y335" s="7">
        <f t="shared" si="23"/>
        <v>40.658150680810955</v>
      </c>
    </row>
    <row r="336" spans="1:25" x14ac:dyDescent="0.25">
      <c r="A336" s="57">
        <v>6207</v>
      </c>
      <c r="B336" t="s">
        <v>66</v>
      </c>
      <c r="C336" t="s">
        <v>414</v>
      </c>
      <c r="D336" s="8">
        <v>106700</v>
      </c>
      <c r="E336" s="8">
        <v>8887</v>
      </c>
      <c r="F336" s="8">
        <v>8830</v>
      </c>
      <c r="G336" s="8">
        <v>8122</v>
      </c>
      <c r="H336" s="8">
        <v>7448</v>
      </c>
      <c r="I336" s="8">
        <v>7429</v>
      </c>
      <c r="J336" s="8">
        <v>8951</v>
      </c>
      <c r="K336" s="8">
        <v>9658</v>
      </c>
      <c r="L336" s="8">
        <v>9578</v>
      </c>
      <c r="M336" s="8">
        <v>9057</v>
      </c>
      <c r="N336" s="8">
        <v>8121</v>
      </c>
      <c r="O336" s="8">
        <v>6397</v>
      </c>
      <c r="P336" s="8">
        <v>4894</v>
      </c>
      <c r="Q336" s="8">
        <v>3667</v>
      </c>
      <c r="R336" s="8">
        <v>2482</v>
      </c>
      <c r="S336" s="8">
        <v>1603</v>
      </c>
      <c r="T336" s="8">
        <v>1576</v>
      </c>
      <c r="U336" s="7">
        <f t="shared" si="20"/>
        <v>24.216494845360824</v>
      </c>
      <c r="V336" s="7">
        <f t="shared" si="21"/>
        <v>70.477975632614815</v>
      </c>
      <c r="W336" s="7">
        <f t="shared" si="22"/>
        <v>5.3055295220243677</v>
      </c>
      <c r="X336" s="7">
        <f>SUM(I336:L336)/D336*100</f>
        <v>33.379568884723525</v>
      </c>
      <c r="Y336" s="7">
        <f t="shared" si="23"/>
        <v>41.888297872340424</v>
      </c>
    </row>
    <row r="337" spans="1:25" x14ac:dyDescent="0.25">
      <c r="A337" s="57">
        <v>6208</v>
      </c>
      <c r="B337" t="s">
        <v>66</v>
      </c>
      <c r="C337" t="s">
        <v>415</v>
      </c>
      <c r="D337" s="8">
        <v>180308</v>
      </c>
      <c r="E337" s="8">
        <v>15118</v>
      </c>
      <c r="F337" s="8">
        <v>14796</v>
      </c>
      <c r="G337" s="8">
        <v>14389</v>
      </c>
      <c r="H337" s="8">
        <v>14658</v>
      </c>
      <c r="I337" s="8">
        <v>14721</v>
      </c>
      <c r="J337" s="8">
        <v>14682</v>
      </c>
      <c r="K337" s="8">
        <v>14899</v>
      </c>
      <c r="L337" s="8">
        <v>15895</v>
      </c>
      <c r="M337" s="8">
        <v>15122</v>
      </c>
      <c r="N337" s="8">
        <v>13537</v>
      </c>
      <c r="O337" s="8">
        <v>11173</v>
      </c>
      <c r="P337" s="8">
        <v>8062</v>
      </c>
      <c r="Q337" s="8">
        <v>5589</v>
      </c>
      <c r="R337" s="8">
        <v>3657</v>
      </c>
      <c r="S337" s="8">
        <v>2123</v>
      </c>
      <c r="T337" s="8">
        <v>1887</v>
      </c>
      <c r="U337" s="7">
        <f t="shared" si="20"/>
        <v>24.570734520930852</v>
      </c>
      <c r="V337" s="7">
        <f t="shared" si="21"/>
        <v>71.177096967411316</v>
      </c>
      <c r="W337" s="7">
        <f t="shared" si="22"/>
        <v>4.2521685116578301</v>
      </c>
      <c r="X337" s="7">
        <f>SUM(I337:L337)/D337*100</f>
        <v>33.385651219025227</v>
      </c>
      <c r="Y337" s="7">
        <f t="shared" si="23"/>
        <v>40.494631364054293</v>
      </c>
    </row>
    <row r="338" spans="1:25" x14ac:dyDescent="0.25">
      <c r="A338" s="57">
        <v>6209</v>
      </c>
      <c r="B338" t="s">
        <v>66</v>
      </c>
      <c r="C338" t="s">
        <v>416</v>
      </c>
      <c r="D338" s="8">
        <v>176764</v>
      </c>
      <c r="E338" s="8">
        <v>16205</v>
      </c>
      <c r="F338" s="8">
        <v>14811</v>
      </c>
      <c r="G338" s="8">
        <v>14780</v>
      </c>
      <c r="H338" s="8">
        <v>15527</v>
      </c>
      <c r="I338" s="8">
        <v>15011</v>
      </c>
      <c r="J338" s="8">
        <v>13662</v>
      </c>
      <c r="K338" s="8">
        <v>13724</v>
      </c>
      <c r="L338" s="8">
        <v>13747</v>
      </c>
      <c r="M338" s="8">
        <v>12843</v>
      </c>
      <c r="N338" s="8">
        <v>11916</v>
      </c>
      <c r="O338" s="8">
        <v>10404</v>
      </c>
      <c r="P338" s="8">
        <v>8314</v>
      </c>
      <c r="Q338" s="8">
        <v>6403</v>
      </c>
      <c r="R338" s="8">
        <v>4174</v>
      </c>
      <c r="S338" s="8">
        <v>2658</v>
      </c>
      <c r="T338" s="8">
        <v>2585</v>
      </c>
      <c r="U338" s="7">
        <f t="shared" si="20"/>
        <v>25.907990314769975</v>
      </c>
      <c r="V338" s="7">
        <f t="shared" si="21"/>
        <v>68.76456744586001</v>
      </c>
      <c r="W338" s="7">
        <f t="shared" si="22"/>
        <v>5.3274422393700078</v>
      </c>
      <c r="X338" s="7">
        <f>SUM(I338:L338)/D338*100</f>
        <v>31.762123509311852</v>
      </c>
      <c r="Y338" s="7">
        <f t="shared" si="23"/>
        <v>45.423731602372669</v>
      </c>
    </row>
    <row r="339" spans="1:25" x14ac:dyDescent="0.25">
      <c r="A339" s="57">
        <v>6210</v>
      </c>
      <c r="B339" t="s">
        <v>66</v>
      </c>
      <c r="C339" t="s">
        <v>417</v>
      </c>
      <c r="D339" s="8">
        <v>142028</v>
      </c>
      <c r="E339" s="8">
        <v>11538</v>
      </c>
      <c r="F339" s="8">
        <v>11606</v>
      </c>
      <c r="G339" s="8">
        <v>11325</v>
      </c>
      <c r="H339" s="8">
        <v>11366</v>
      </c>
      <c r="I339" s="8">
        <v>10991</v>
      </c>
      <c r="J339" s="8">
        <v>11690</v>
      </c>
      <c r="K339" s="8">
        <v>11470</v>
      </c>
      <c r="L339" s="8">
        <v>10565</v>
      </c>
      <c r="M339" s="8">
        <v>10161</v>
      </c>
      <c r="N339" s="8">
        <v>9425</v>
      </c>
      <c r="O339" s="8">
        <v>8452</v>
      </c>
      <c r="P339" s="8">
        <v>6899</v>
      </c>
      <c r="Q339" s="8">
        <v>5768</v>
      </c>
      <c r="R339" s="8">
        <v>4355</v>
      </c>
      <c r="S339" s="8">
        <v>3098</v>
      </c>
      <c r="T339" s="8">
        <v>3319</v>
      </c>
      <c r="U339" s="7">
        <f t="shared" si="20"/>
        <v>24.269158194158898</v>
      </c>
      <c r="V339" s="7">
        <f t="shared" si="21"/>
        <v>68.146421832314758</v>
      </c>
      <c r="W339" s="7">
        <f t="shared" si="22"/>
        <v>7.5844199735263462</v>
      </c>
      <c r="X339" s="7">
        <f>SUM(I339:L339)/D339*100</f>
        <v>31.483932745655785</v>
      </c>
      <c r="Y339" s="7">
        <f t="shared" si="23"/>
        <v>46.742847696488163</v>
      </c>
    </row>
    <row r="340" spans="1:25" x14ac:dyDescent="0.25">
      <c r="A340" s="57">
        <v>6211</v>
      </c>
      <c r="B340" t="s">
        <v>66</v>
      </c>
      <c r="C340" t="s">
        <v>418</v>
      </c>
      <c r="D340" s="8">
        <v>150923</v>
      </c>
      <c r="E340" s="8">
        <v>14398</v>
      </c>
      <c r="F340" s="8">
        <v>12501</v>
      </c>
      <c r="G340" s="8">
        <v>12126</v>
      </c>
      <c r="H340" s="8">
        <v>12006</v>
      </c>
      <c r="I340" s="8">
        <v>13639</v>
      </c>
      <c r="J340" s="8">
        <v>13315</v>
      </c>
      <c r="K340" s="8">
        <v>14001</v>
      </c>
      <c r="L340" s="8">
        <v>13091</v>
      </c>
      <c r="M340" s="8">
        <v>11318</v>
      </c>
      <c r="N340" s="8">
        <v>9376</v>
      </c>
      <c r="O340" s="8">
        <v>7653</v>
      </c>
      <c r="P340" s="8">
        <v>5893</v>
      </c>
      <c r="Q340" s="8">
        <v>4363</v>
      </c>
      <c r="R340" s="8">
        <v>3072</v>
      </c>
      <c r="S340" s="8">
        <v>2036</v>
      </c>
      <c r="T340" s="8">
        <v>2135</v>
      </c>
      <c r="U340" s="7">
        <f t="shared" si="20"/>
        <v>25.857556502322375</v>
      </c>
      <c r="V340" s="7">
        <f t="shared" si="21"/>
        <v>69.343307514427892</v>
      </c>
      <c r="W340" s="7">
        <f t="shared" si="22"/>
        <v>4.7991359832497364</v>
      </c>
      <c r="X340" s="7">
        <f>SUM(I340:L340)/D340*100</f>
        <v>35.810313868661503</v>
      </c>
      <c r="Y340" s="7">
        <f t="shared" si="23"/>
        <v>44.210023410252738</v>
      </c>
    </row>
    <row r="341" spans="1:25" x14ac:dyDescent="0.25">
      <c r="A341" s="57">
        <v>6212</v>
      </c>
      <c r="B341" t="s">
        <v>66</v>
      </c>
      <c r="C341" t="s">
        <v>419</v>
      </c>
      <c r="D341" s="8">
        <v>121622</v>
      </c>
      <c r="E341" s="8">
        <v>10100</v>
      </c>
      <c r="F341" s="8">
        <v>8951</v>
      </c>
      <c r="G341" s="8">
        <v>8428</v>
      </c>
      <c r="H341" s="8">
        <v>9275</v>
      </c>
      <c r="I341" s="8">
        <v>10101</v>
      </c>
      <c r="J341" s="8">
        <v>10341</v>
      </c>
      <c r="K341" s="8">
        <v>9514</v>
      </c>
      <c r="L341" s="8">
        <v>9190</v>
      </c>
      <c r="M341" s="8">
        <v>9128</v>
      </c>
      <c r="N341" s="8">
        <v>8778</v>
      </c>
      <c r="O341" s="8">
        <v>8016</v>
      </c>
      <c r="P341" s="8">
        <v>6638</v>
      </c>
      <c r="Q341" s="8">
        <v>5057</v>
      </c>
      <c r="R341" s="8">
        <v>3555</v>
      </c>
      <c r="S341" s="8">
        <v>2348</v>
      </c>
      <c r="T341" s="8">
        <v>2202</v>
      </c>
      <c r="U341" s="7">
        <f t="shared" si="20"/>
        <v>22.593774152702636</v>
      </c>
      <c r="V341" s="7">
        <f t="shared" si="21"/>
        <v>70.742135468911869</v>
      </c>
      <c r="W341" s="7">
        <f t="shared" si="22"/>
        <v>6.6640903783854899</v>
      </c>
      <c r="X341" s="7">
        <f>SUM(I341:L341)/D341*100</f>
        <v>32.186610974988078</v>
      </c>
      <c r="Y341" s="7">
        <f t="shared" si="23"/>
        <v>41.358469513470794</v>
      </c>
    </row>
    <row r="342" spans="1:25" x14ac:dyDescent="0.25">
      <c r="A342" s="57">
        <v>6213</v>
      </c>
      <c r="B342" t="s">
        <v>66</v>
      </c>
      <c r="C342" t="s">
        <v>420</v>
      </c>
      <c r="D342" s="8">
        <v>121996</v>
      </c>
      <c r="E342" s="8">
        <v>11948</v>
      </c>
      <c r="F342" s="8">
        <v>10094</v>
      </c>
      <c r="G342" s="8">
        <v>9982</v>
      </c>
      <c r="H342" s="8">
        <v>10988</v>
      </c>
      <c r="I342" s="8">
        <v>11463</v>
      </c>
      <c r="J342" s="8">
        <v>11067</v>
      </c>
      <c r="K342" s="8">
        <v>9680</v>
      </c>
      <c r="L342" s="8">
        <v>9481</v>
      </c>
      <c r="M342" s="8">
        <v>8913</v>
      </c>
      <c r="N342" s="8">
        <v>7844</v>
      </c>
      <c r="O342" s="8">
        <v>6461</v>
      </c>
      <c r="P342" s="8">
        <v>4869</v>
      </c>
      <c r="Q342" s="8">
        <v>3666</v>
      </c>
      <c r="R342" s="8">
        <v>2589</v>
      </c>
      <c r="S342" s="8">
        <v>1514</v>
      </c>
      <c r="T342" s="8">
        <v>1437</v>
      </c>
      <c r="U342" s="7">
        <f t="shared" si="20"/>
        <v>26.250040984950324</v>
      </c>
      <c r="V342" s="7">
        <f t="shared" si="21"/>
        <v>69.208826518902256</v>
      </c>
      <c r="W342" s="7">
        <f t="shared" si="22"/>
        <v>4.5411324961474149</v>
      </c>
      <c r="X342" s="7">
        <f>SUM(I342:L342)/D342*100</f>
        <v>34.174071281025611</v>
      </c>
      <c r="Y342" s="7">
        <f t="shared" si="23"/>
        <v>44.490240667045668</v>
      </c>
    </row>
    <row r="343" spans="1:25" x14ac:dyDescent="0.25">
      <c r="A343" s="57">
        <v>6271</v>
      </c>
      <c r="B343" t="s">
        <v>66</v>
      </c>
      <c r="C343" t="s">
        <v>421</v>
      </c>
      <c r="D343" s="8">
        <v>318540</v>
      </c>
      <c r="E343" s="8">
        <v>28207</v>
      </c>
      <c r="F343" s="8">
        <v>25884</v>
      </c>
      <c r="G343" s="8">
        <v>24115</v>
      </c>
      <c r="H343" s="8">
        <v>25381</v>
      </c>
      <c r="I343" s="8">
        <v>24747</v>
      </c>
      <c r="J343" s="8">
        <v>27677</v>
      </c>
      <c r="K343" s="8">
        <v>27336</v>
      </c>
      <c r="L343" s="8">
        <v>25353</v>
      </c>
      <c r="M343" s="8">
        <v>22598</v>
      </c>
      <c r="N343" s="8">
        <v>21227</v>
      </c>
      <c r="O343" s="8">
        <v>18824</v>
      </c>
      <c r="P343" s="8">
        <v>15167</v>
      </c>
      <c r="Q343" s="8">
        <v>12393</v>
      </c>
      <c r="R343" s="8">
        <v>8722</v>
      </c>
      <c r="S343" s="8">
        <v>5748</v>
      </c>
      <c r="T343" s="8">
        <v>5161</v>
      </c>
      <c r="U343" s="7">
        <f t="shared" si="20"/>
        <v>24.551390720160736</v>
      </c>
      <c r="V343" s="7">
        <f t="shared" si="21"/>
        <v>69.285803980661768</v>
      </c>
      <c r="W343" s="7">
        <f t="shared" si="22"/>
        <v>6.1628052991774966</v>
      </c>
      <c r="X343" s="7">
        <f>SUM(I343:L343)/D343*100</f>
        <v>32.998367551955795</v>
      </c>
      <c r="Y343" s="7">
        <f t="shared" si="23"/>
        <v>44.329710062844633</v>
      </c>
    </row>
    <row r="344" spans="1:25" x14ac:dyDescent="0.25">
      <c r="A344" s="57">
        <v>6301</v>
      </c>
      <c r="B344" t="s">
        <v>67</v>
      </c>
      <c r="C344" t="s">
        <v>422</v>
      </c>
      <c r="D344" s="8">
        <v>372716</v>
      </c>
      <c r="E344" s="8">
        <v>29440</v>
      </c>
      <c r="F344" s="8">
        <v>31373</v>
      </c>
      <c r="G344" s="8">
        <v>33558</v>
      </c>
      <c r="H344" s="8">
        <v>29678</v>
      </c>
      <c r="I344" s="8">
        <v>27669</v>
      </c>
      <c r="J344" s="8">
        <v>27905</v>
      </c>
      <c r="K344" s="8">
        <v>28187</v>
      </c>
      <c r="L344" s="8">
        <v>28414</v>
      </c>
      <c r="M344" s="8">
        <v>28394</v>
      </c>
      <c r="N344" s="8">
        <v>26758</v>
      </c>
      <c r="O344" s="8">
        <v>23142</v>
      </c>
      <c r="P344" s="8">
        <v>18926</v>
      </c>
      <c r="Q344" s="8">
        <v>15120</v>
      </c>
      <c r="R344" s="8">
        <v>10824</v>
      </c>
      <c r="S344" s="8">
        <v>7297</v>
      </c>
      <c r="T344" s="8">
        <v>6031</v>
      </c>
      <c r="U344" s="7">
        <f t="shared" si="20"/>
        <v>25.319814550488847</v>
      </c>
      <c r="V344" s="7">
        <f t="shared" si="21"/>
        <v>68.200184590948609</v>
      </c>
      <c r="W344" s="7">
        <f t="shared" si="22"/>
        <v>6.4800008585625513</v>
      </c>
      <c r="X344" s="7">
        <f>SUM(I344:L344)/D344*100</f>
        <v>30.096641947219865</v>
      </c>
      <c r="Y344" s="7">
        <f t="shared" si="23"/>
        <v>46.627169119527288</v>
      </c>
    </row>
    <row r="345" spans="1:25" x14ac:dyDescent="0.25">
      <c r="A345" s="57">
        <v>6302</v>
      </c>
      <c r="B345" t="s">
        <v>67</v>
      </c>
      <c r="C345" t="s">
        <v>423</v>
      </c>
      <c r="D345" s="8">
        <v>352736</v>
      </c>
      <c r="E345" s="8">
        <v>33008</v>
      </c>
      <c r="F345" s="8">
        <v>28034</v>
      </c>
      <c r="G345" s="8">
        <v>31696</v>
      </c>
      <c r="H345" s="8">
        <v>31004</v>
      </c>
      <c r="I345" s="8">
        <v>29998</v>
      </c>
      <c r="J345" s="8">
        <v>28019</v>
      </c>
      <c r="K345" s="8">
        <v>25767</v>
      </c>
      <c r="L345" s="8">
        <v>25404</v>
      </c>
      <c r="M345" s="8">
        <v>25797</v>
      </c>
      <c r="N345" s="8">
        <v>24396</v>
      </c>
      <c r="O345" s="8">
        <v>21361</v>
      </c>
      <c r="P345" s="8">
        <v>17304</v>
      </c>
      <c r="Q345" s="8">
        <v>12645</v>
      </c>
      <c r="R345" s="8">
        <v>8414</v>
      </c>
      <c r="S345" s="8">
        <v>5392</v>
      </c>
      <c r="T345" s="8">
        <v>4497</v>
      </c>
      <c r="U345" s="7">
        <f t="shared" si="20"/>
        <v>26.291050530708521</v>
      </c>
      <c r="V345" s="7">
        <f t="shared" si="21"/>
        <v>68.520083008255455</v>
      </c>
      <c r="W345" s="7">
        <f t="shared" si="22"/>
        <v>5.1888664610360156</v>
      </c>
      <c r="X345" s="7">
        <f>SUM(I345:L345)/D345*100</f>
        <v>30.954594937857205</v>
      </c>
      <c r="Y345" s="7">
        <f t="shared" si="23"/>
        <v>45.942613624609528</v>
      </c>
    </row>
    <row r="346" spans="1:25" x14ac:dyDescent="0.25">
      <c r="A346" s="57">
        <v>6303</v>
      </c>
      <c r="B346" t="s">
        <v>67</v>
      </c>
      <c r="C346" t="s">
        <v>424</v>
      </c>
      <c r="D346" s="8">
        <v>618481</v>
      </c>
      <c r="E346" s="8">
        <v>51725</v>
      </c>
      <c r="F346" s="8">
        <v>50035</v>
      </c>
      <c r="G346" s="8">
        <v>54301</v>
      </c>
      <c r="H346" s="8">
        <v>47026</v>
      </c>
      <c r="I346" s="8">
        <v>45661</v>
      </c>
      <c r="J346" s="8">
        <v>46954</v>
      </c>
      <c r="K346" s="8">
        <v>49029</v>
      </c>
      <c r="L346" s="8">
        <v>48227</v>
      </c>
      <c r="M346" s="8">
        <v>46312</v>
      </c>
      <c r="N346" s="8">
        <v>43978</v>
      </c>
      <c r="O346" s="8">
        <v>38538</v>
      </c>
      <c r="P346" s="8">
        <v>32122</v>
      </c>
      <c r="Q346" s="8">
        <v>25314</v>
      </c>
      <c r="R346" s="8">
        <v>18256</v>
      </c>
      <c r="S346" s="8">
        <v>11661</v>
      </c>
      <c r="T346" s="8">
        <v>9342</v>
      </c>
      <c r="U346" s="7">
        <f t="shared" si="20"/>
        <v>25.232949759168026</v>
      </c>
      <c r="V346" s="7">
        <f t="shared" si="21"/>
        <v>68.419401727781448</v>
      </c>
      <c r="W346" s="7">
        <f t="shared" si="22"/>
        <v>6.3476485130505216</v>
      </c>
      <c r="X346" s="7">
        <f>SUM(I346:L346)/D346*100</f>
        <v>30.699568782226134</v>
      </c>
      <c r="Y346" s="7">
        <f t="shared" si="23"/>
        <v>46.157372725747408</v>
      </c>
    </row>
    <row r="347" spans="1:25" x14ac:dyDescent="0.25">
      <c r="A347" s="57">
        <v>6304</v>
      </c>
      <c r="B347" t="s">
        <v>67</v>
      </c>
      <c r="C347" t="s">
        <v>425</v>
      </c>
      <c r="D347" s="8">
        <v>340257</v>
      </c>
      <c r="E347" s="8">
        <v>28080</v>
      </c>
      <c r="F347" s="8">
        <v>26801</v>
      </c>
      <c r="G347" s="8">
        <v>30027</v>
      </c>
      <c r="H347" s="8">
        <v>27018</v>
      </c>
      <c r="I347" s="8">
        <v>26072</v>
      </c>
      <c r="J347" s="8">
        <v>25169</v>
      </c>
      <c r="K347" s="8">
        <v>25471</v>
      </c>
      <c r="L347" s="8">
        <v>25274</v>
      </c>
      <c r="M347" s="8">
        <v>25195</v>
      </c>
      <c r="N347" s="8">
        <v>24680</v>
      </c>
      <c r="O347" s="8">
        <v>21708</v>
      </c>
      <c r="P347" s="8">
        <v>18536</v>
      </c>
      <c r="Q347" s="8">
        <v>14326</v>
      </c>
      <c r="R347" s="8">
        <v>10061</v>
      </c>
      <c r="S347" s="8">
        <v>6642</v>
      </c>
      <c r="T347" s="8">
        <v>5197</v>
      </c>
      <c r="U347" s="7">
        <f t="shared" si="20"/>
        <v>24.954078828650108</v>
      </c>
      <c r="V347" s="7">
        <f t="shared" si="21"/>
        <v>68.609609794949108</v>
      </c>
      <c r="W347" s="7">
        <f t="shared" si="22"/>
        <v>6.4363113764007798</v>
      </c>
      <c r="X347" s="7">
        <f>SUM(I347:L347)/D347*100</f>
        <v>29.973226120256157</v>
      </c>
      <c r="Y347" s="7">
        <f t="shared" si="23"/>
        <v>45.752177135048768</v>
      </c>
    </row>
    <row r="348" spans="1:25" x14ac:dyDescent="0.25">
      <c r="A348" s="57">
        <v>6305</v>
      </c>
      <c r="B348" t="s">
        <v>67</v>
      </c>
      <c r="C348" t="s">
        <v>426</v>
      </c>
      <c r="D348" s="8">
        <v>203482</v>
      </c>
      <c r="E348" s="8">
        <v>15983</v>
      </c>
      <c r="F348" s="8">
        <v>16643</v>
      </c>
      <c r="G348" s="8">
        <v>18648</v>
      </c>
      <c r="H348" s="8">
        <v>15840</v>
      </c>
      <c r="I348" s="8">
        <v>13941</v>
      </c>
      <c r="J348" s="8">
        <v>15271</v>
      </c>
      <c r="K348" s="8">
        <v>15810</v>
      </c>
      <c r="L348" s="8">
        <v>15838</v>
      </c>
      <c r="M348" s="8">
        <v>15099</v>
      </c>
      <c r="N348" s="8">
        <v>14104</v>
      </c>
      <c r="O348" s="8">
        <v>12852</v>
      </c>
      <c r="P348" s="8">
        <v>11027</v>
      </c>
      <c r="Q348" s="8">
        <v>8732</v>
      </c>
      <c r="R348" s="8">
        <v>6372</v>
      </c>
      <c r="S348" s="8">
        <v>4073</v>
      </c>
      <c r="T348" s="8">
        <v>3249</v>
      </c>
      <c r="U348" s="7">
        <f t="shared" si="20"/>
        <v>25.198297638120327</v>
      </c>
      <c r="V348" s="7">
        <f t="shared" si="21"/>
        <v>68.071868764804748</v>
      </c>
      <c r="W348" s="7">
        <f t="shared" si="22"/>
        <v>6.7298335970749257</v>
      </c>
      <c r="X348" s="7">
        <f>SUM(I348:L348)/D348*100</f>
        <v>29.9092794448649</v>
      </c>
      <c r="Y348" s="7">
        <f t="shared" si="23"/>
        <v>46.903562094806297</v>
      </c>
    </row>
    <row r="349" spans="1:25" x14ac:dyDescent="0.25">
      <c r="A349" s="57">
        <v>6306</v>
      </c>
      <c r="B349" t="s">
        <v>67</v>
      </c>
      <c r="C349" t="s">
        <v>427</v>
      </c>
      <c r="D349" s="8">
        <v>244223</v>
      </c>
      <c r="E349" s="8">
        <v>19783</v>
      </c>
      <c r="F349" s="8">
        <v>19476</v>
      </c>
      <c r="G349" s="8">
        <v>20663</v>
      </c>
      <c r="H349" s="8">
        <v>18959</v>
      </c>
      <c r="I349" s="8">
        <v>18664</v>
      </c>
      <c r="J349" s="8">
        <v>19120</v>
      </c>
      <c r="K349" s="8">
        <v>18370</v>
      </c>
      <c r="L349" s="8">
        <v>17887</v>
      </c>
      <c r="M349" s="8">
        <v>16517</v>
      </c>
      <c r="N349" s="8">
        <v>16033</v>
      </c>
      <c r="O349" s="8">
        <v>15468</v>
      </c>
      <c r="P349" s="8">
        <v>13784</v>
      </c>
      <c r="Q349" s="8">
        <v>11227</v>
      </c>
      <c r="R349" s="8">
        <v>8258</v>
      </c>
      <c r="S349" s="8">
        <v>5319</v>
      </c>
      <c r="T349" s="8">
        <v>4695</v>
      </c>
      <c r="U349" s="7">
        <f t="shared" si="20"/>
        <v>24.535772634027097</v>
      </c>
      <c r="V349" s="7">
        <f t="shared" si="21"/>
        <v>67.982540546959143</v>
      </c>
      <c r="W349" s="7">
        <f t="shared" si="22"/>
        <v>7.4816868190137704</v>
      </c>
      <c r="X349" s="7">
        <f>SUM(I349:L349)/D349*100</f>
        <v>30.316964413671109</v>
      </c>
      <c r="Y349" s="7">
        <f t="shared" si="23"/>
        <v>47.096591559305907</v>
      </c>
    </row>
    <row r="350" spans="1:25" x14ac:dyDescent="0.25">
      <c r="A350" s="57">
        <v>6307</v>
      </c>
      <c r="B350" t="s">
        <v>67</v>
      </c>
      <c r="C350" t="s">
        <v>428</v>
      </c>
      <c r="D350" s="8">
        <v>273672</v>
      </c>
      <c r="E350" s="8">
        <v>21740</v>
      </c>
      <c r="F350" s="8">
        <v>21694</v>
      </c>
      <c r="G350" s="8">
        <v>22929</v>
      </c>
      <c r="H350" s="8">
        <v>20747</v>
      </c>
      <c r="I350" s="8">
        <v>21685</v>
      </c>
      <c r="J350" s="8">
        <v>21529</v>
      </c>
      <c r="K350" s="8">
        <v>20154</v>
      </c>
      <c r="L350" s="8">
        <v>19371</v>
      </c>
      <c r="M350" s="8">
        <v>17379</v>
      </c>
      <c r="N350" s="8">
        <v>17678</v>
      </c>
      <c r="O350" s="8">
        <v>17301</v>
      </c>
      <c r="P350" s="8">
        <v>16086</v>
      </c>
      <c r="Q350" s="8">
        <v>13698</v>
      </c>
      <c r="R350" s="8">
        <v>10126</v>
      </c>
      <c r="S350" s="8">
        <v>6211</v>
      </c>
      <c r="T350" s="8">
        <v>5344</v>
      </c>
      <c r="U350" s="7">
        <f t="shared" si="20"/>
        <v>24.249101113741997</v>
      </c>
      <c r="V350" s="7">
        <f t="shared" si="21"/>
        <v>67.828641585547672</v>
      </c>
      <c r="W350" s="7">
        <f t="shared" si="22"/>
        <v>7.9222573007103394</v>
      </c>
      <c r="X350" s="7">
        <f>SUM(I350:L350)/D350*100</f>
        <v>30.23290654506124</v>
      </c>
      <c r="Y350" s="7">
        <f t="shared" si="23"/>
        <v>47.430344560087917</v>
      </c>
    </row>
    <row r="351" spans="1:25" x14ac:dyDescent="0.25">
      <c r="A351" s="57">
        <v>6308</v>
      </c>
      <c r="B351" t="s">
        <v>67</v>
      </c>
      <c r="C351" t="s">
        <v>429</v>
      </c>
      <c r="D351" s="8">
        <v>242092</v>
      </c>
      <c r="E351" s="8">
        <v>20823</v>
      </c>
      <c r="F351" s="8">
        <v>20591</v>
      </c>
      <c r="G351" s="8">
        <v>21282</v>
      </c>
      <c r="H351" s="8">
        <v>19018</v>
      </c>
      <c r="I351" s="8">
        <v>19035</v>
      </c>
      <c r="J351" s="8">
        <v>18603</v>
      </c>
      <c r="K351" s="8">
        <v>18378</v>
      </c>
      <c r="L351" s="8">
        <v>18504</v>
      </c>
      <c r="M351" s="8">
        <v>16666</v>
      </c>
      <c r="N351" s="8">
        <v>15453</v>
      </c>
      <c r="O351" s="8">
        <v>14273</v>
      </c>
      <c r="P351" s="8">
        <v>12261</v>
      </c>
      <c r="Q351" s="8">
        <v>10189</v>
      </c>
      <c r="R351" s="8">
        <v>7632</v>
      </c>
      <c r="S351" s="8">
        <v>5291</v>
      </c>
      <c r="T351" s="8">
        <v>4093</v>
      </c>
      <c r="U351" s="7">
        <f t="shared" si="20"/>
        <v>25.897592650727823</v>
      </c>
      <c r="V351" s="7">
        <f t="shared" si="21"/>
        <v>67.073674470862315</v>
      </c>
      <c r="W351" s="7">
        <f t="shared" si="22"/>
        <v>7.0287328784098602</v>
      </c>
      <c r="X351" s="7">
        <f>SUM(I351:L351)/D351*100</f>
        <v>30.781686301075624</v>
      </c>
      <c r="Y351" s="7">
        <f t="shared" si="23"/>
        <v>49.089789382928934</v>
      </c>
    </row>
    <row r="352" spans="1:25" x14ac:dyDescent="0.25">
      <c r="A352" s="57">
        <v>6309</v>
      </c>
      <c r="B352" t="s">
        <v>67</v>
      </c>
      <c r="C352" t="s">
        <v>430</v>
      </c>
      <c r="D352" s="8">
        <v>273602</v>
      </c>
      <c r="E352" s="8">
        <v>22417</v>
      </c>
      <c r="F352" s="8">
        <v>24321</v>
      </c>
      <c r="G352" s="8">
        <v>24821</v>
      </c>
      <c r="H352" s="8">
        <v>21160</v>
      </c>
      <c r="I352" s="8">
        <v>19693</v>
      </c>
      <c r="J352" s="8">
        <v>21328</v>
      </c>
      <c r="K352" s="8">
        <v>21895</v>
      </c>
      <c r="L352" s="8">
        <v>22337</v>
      </c>
      <c r="M352" s="8">
        <v>19767</v>
      </c>
      <c r="N352" s="8">
        <v>18392</v>
      </c>
      <c r="O352" s="8">
        <v>16548</v>
      </c>
      <c r="P352" s="8">
        <v>13547</v>
      </c>
      <c r="Q352" s="8">
        <v>10954</v>
      </c>
      <c r="R352" s="8">
        <v>7769</v>
      </c>
      <c r="S352" s="8">
        <v>5031</v>
      </c>
      <c r="T352" s="8">
        <v>3622</v>
      </c>
      <c r="U352" s="7">
        <f t="shared" si="20"/>
        <v>26.154414075920496</v>
      </c>
      <c r="V352" s="7">
        <f t="shared" si="21"/>
        <v>67.843436816982333</v>
      </c>
      <c r="W352" s="7">
        <f t="shared" si="22"/>
        <v>6.0021491070971704</v>
      </c>
      <c r="X352" s="7">
        <f>SUM(I352:L352)/D352*100</f>
        <v>31.159494448140002</v>
      </c>
      <c r="Y352" s="7">
        <f t="shared" si="23"/>
        <v>47.398193092376403</v>
      </c>
    </row>
    <row r="353" spans="1:25" x14ac:dyDescent="0.25">
      <c r="A353" s="57">
        <v>6310</v>
      </c>
      <c r="B353" t="s">
        <v>67</v>
      </c>
      <c r="C353" t="s">
        <v>431</v>
      </c>
      <c r="D353" s="8">
        <v>352072</v>
      </c>
      <c r="E353" s="8">
        <v>31314</v>
      </c>
      <c r="F353" s="8">
        <v>33582</v>
      </c>
      <c r="G353" s="8">
        <v>36288</v>
      </c>
      <c r="H353" s="8">
        <v>29899</v>
      </c>
      <c r="I353" s="8">
        <v>23376</v>
      </c>
      <c r="J353" s="8">
        <v>25403</v>
      </c>
      <c r="K353" s="8">
        <v>27820</v>
      </c>
      <c r="L353" s="8">
        <v>27439</v>
      </c>
      <c r="M353" s="8">
        <v>26619</v>
      </c>
      <c r="N353" s="8">
        <v>24422</v>
      </c>
      <c r="O353" s="8">
        <v>20320</v>
      </c>
      <c r="P353" s="8">
        <v>15706</v>
      </c>
      <c r="Q353" s="8">
        <v>11819</v>
      </c>
      <c r="R353" s="8">
        <v>8083</v>
      </c>
      <c r="S353" s="8">
        <v>5561</v>
      </c>
      <c r="T353" s="8">
        <v>4421</v>
      </c>
      <c r="U353" s="7">
        <f t="shared" si="20"/>
        <v>28.739575995819038</v>
      </c>
      <c r="V353" s="7">
        <f t="shared" si="21"/>
        <v>66.129371264968526</v>
      </c>
      <c r="W353" s="7">
        <f t="shared" si="22"/>
        <v>5.1310527392124339</v>
      </c>
      <c r="X353" s="7">
        <f>SUM(I353:L353)/D353*100</f>
        <v>29.550205639755507</v>
      </c>
      <c r="Y353" s="7">
        <f t="shared" si="23"/>
        <v>51.21873698045296</v>
      </c>
    </row>
    <row r="354" spans="1:25" x14ac:dyDescent="0.25">
      <c r="A354" s="57">
        <v>6311</v>
      </c>
      <c r="B354" t="s">
        <v>67</v>
      </c>
      <c r="C354" t="s">
        <v>432</v>
      </c>
      <c r="D354" s="8">
        <v>142029</v>
      </c>
      <c r="E354" s="8">
        <v>12457</v>
      </c>
      <c r="F354" s="8">
        <v>12164</v>
      </c>
      <c r="G354" s="8">
        <v>13232</v>
      </c>
      <c r="H354" s="8">
        <v>11455</v>
      </c>
      <c r="I354" s="8">
        <v>10921</v>
      </c>
      <c r="J354" s="8">
        <v>11473</v>
      </c>
      <c r="K354" s="8">
        <v>11347</v>
      </c>
      <c r="L354" s="8">
        <v>11442</v>
      </c>
      <c r="M354" s="8">
        <v>9908</v>
      </c>
      <c r="N354" s="8">
        <v>9005</v>
      </c>
      <c r="O354" s="8">
        <v>7828</v>
      </c>
      <c r="P354" s="8">
        <v>7031</v>
      </c>
      <c r="Q354" s="8">
        <v>5643</v>
      </c>
      <c r="R354" s="8">
        <v>4075</v>
      </c>
      <c r="S354" s="8">
        <v>2317</v>
      </c>
      <c r="T354" s="8">
        <v>1731</v>
      </c>
      <c r="U354" s="7">
        <f t="shared" si="20"/>
        <v>26.651599321265373</v>
      </c>
      <c r="V354" s="7">
        <f t="shared" si="21"/>
        <v>67.629146160291214</v>
      </c>
      <c r="W354" s="7">
        <f t="shared" si="22"/>
        <v>5.7192545184434165</v>
      </c>
      <c r="X354" s="7">
        <f>SUM(I354:L354)/D354*100</f>
        <v>31.812517161988048</v>
      </c>
      <c r="Y354" s="7">
        <f t="shared" si="23"/>
        <v>47.865241064828794</v>
      </c>
    </row>
    <row r="355" spans="1:25" x14ac:dyDescent="0.25">
      <c r="A355" s="57">
        <v>6371</v>
      </c>
      <c r="B355" t="s">
        <v>67</v>
      </c>
      <c r="C355" t="s">
        <v>433</v>
      </c>
      <c r="D355" s="8">
        <v>672668</v>
      </c>
      <c r="E355" s="8">
        <v>51296</v>
      </c>
      <c r="F355" s="8">
        <v>53044</v>
      </c>
      <c r="G355" s="8">
        <v>58412</v>
      </c>
      <c r="H355" s="8">
        <v>53429</v>
      </c>
      <c r="I355" s="8">
        <v>51953</v>
      </c>
      <c r="J355" s="8">
        <v>51142</v>
      </c>
      <c r="K355" s="8">
        <v>47464</v>
      </c>
      <c r="L355" s="8">
        <v>47008</v>
      </c>
      <c r="M355" s="8">
        <v>47222</v>
      </c>
      <c r="N355" s="8">
        <v>47073</v>
      </c>
      <c r="O355" s="8">
        <v>43789</v>
      </c>
      <c r="P355" s="8">
        <v>37718</v>
      </c>
      <c r="Q355" s="8">
        <v>31324</v>
      </c>
      <c r="R355" s="8">
        <v>22759</v>
      </c>
      <c r="S355" s="8">
        <v>16159</v>
      </c>
      <c r="T355" s="8">
        <v>12876</v>
      </c>
      <c r="U355" s="7">
        <f t="shared" si="20"/>
        <v>24.194996640244518</v>
      </c>
      <c r="V355" s="7">
        <f t="shared" si="21"/>
        <v>68.105216838024106</v>
      </c>
      <c r="W355" s="7">
        <f t="shared" si="22"/>
        <v>7.6997865217313732</v>
      </c>
      <c r="X355" s="7">
        <f>SUM(I355:L355)/D355*100</f>
        <v>29.370655360445269</v>
      </c>
      <c r="Y355" s="7">
        <f t="shared" si="23"/>
        <v>46.831630002488424</v>
      </c>
    </row>
    <row r="356" spans="1:25" x14ac:dyDescent="0.25">
      <c r="A356" s="57">
        <v>6372</v>
      </c>
      <c r="B356" t="s">
        <v>67</v>
      </c>
      <c r="C356" t="s">
        <v>434</v>
      </c>
      <c r="D356" s="8">
        <v>284079</v>
      </c>
      <c r="E356" s="8">
        <v>22923</v>
      </c>
      <c r="F356" s="8">
        <v>25458</v>
      </c>
      <c r="G356" s="8">
        <v>25456</v>
      </c>
      <c r="H356" s="8">
        <v>21146</v>
      </c>
      <c r="I356" s="8">
        <v>19923</v>
      </c>
      <c r="J356" s="8">
        <v>22843</v>
      </c>
      <c r="K356" s="8">
        <v>22563</v>
      </c>
      <c r="L356" s="8">
        <v>21823</v>
      </c>
      <c r="M356" s="8">
        <v>21070</v>
      </c>
      <c r="N356" s="8">
        <v>20579</v>
      </c>
      <c r="O356" s="8">
        <v>18299</v>
      </c>
      <c r="P356" s="8">
        <v>14559</v>
      </c>
      <c r="Q356" s="8">
        <v>11384</v>
      </c>
      <c r="R356" s="8">
        <v>7701</v>
      </c>
      <c r="S356" s="8">
        <v>4983</v>
      </c>
      <c r="T356" s="8">
        <v>3369</v>
      </c>
      <c r="U356" s="7">
        <f t="shared" si="20"/>
        <v>25.991713572632964</v>
      </c>
      <c r="V356" s="7">
        <f t="shared" si="21"/>
        <v>68.35739354193727</v>
      </c>
      <c r="W356" s="7">
        <f t="shared" si="22"/>
        <v>5.6508928854297569</v>
      </c>
      <c r="X356" s="7">
        <f>SUM(I356:L356)/D356*100</f>
        <v>30.678790054879101</v>
      </c>
      <c r="Y356" s="7">
        <f t="shared" si="23"/>
        <v>46.289954631827754</v>
      </c>
    </row>
    <row r="357" spans="1:25" x14ac:dyDescent="0.25">
      <c r="A357" s="57">
        <v>6401</v>
      </c>
      <c r="B357" t="s">
        <v>68</v>
      </c>
      <c r="C357" t="s">
        <v>435</v>
      </c>
      <c r="D357" s="8">
        <v>292393</v>
      </c>
      <c r="E357" s="8">
        <v>24312</v>
      </c>
      <c r="F357" s="8">
        <v>24201</v>
      </c>
      <c r="G357" s="8">
        <v>22397</v>
      </c>
      <c r="H357" s="8">
        <v>22732</v>
      </c>
      <c r="I357" s="8">
        <v>23157</v>
      </c>
      <c r="J357" s="8">
        <v>23540</v>
      </c>
      <c r="K357" s="8">
        <v>23441</v>
      </c>
      <c r="L357" s="8">
        <v>23934</v>
      </c>
      <c r="M357" s="8">
        <v>22301</v>
      </c>
      <c r="N357" s="8">
        <v>20719</v>
      </c>
      <c r="O357" s="8">
        <v>18209</v>
      </c>
      <c r="P357" s="8">
        <v>14677</v>
      </c>
      <c r="Q357" s="8">
        <v>11604</v>
      </c>
      <c r="R357" s="8">
        <v>7960</v>
      </c>
      <c r="S357" s="8">
        <v>4779</v>
      </c>
      <c r="T357" s="8">
        <v>4430</v>
      </c>
      <c r="U357" s="7">
        <f t="shared" si="20"/>
        <v>24.251606570608736</v>
      </c>
      <c r="V357" s="7">
        <f t="shared" si="21"/>
        <v>69.876501831439199</v>
      </c>
      <c r="W357" s="7">
        <f t="shared" si="22"/>
        <v>5.8718915979520707</v>
      </c>
      <c r="X357" s="7">
        <f>SUM(I357:L357)/D357*100</f>
        <v>32.173136839801224</v>
      </c>
      <c r="Y357" s="7">
        <f t="shared" si="23"/>
        <v>43.109625380541715</v>
      </c>
    </row>
    <row r="358" spans="1:25" x14ac:dyDescent="0.25">
      <c r="A358" s="57">
        <v>6402</v>
      </c>
      <c r="B358" t="s">
        <v>68</v>
      </c>
      <c r="C358" t="s">
        <v>436</v>
      </c>
      <c r="D358" s="8">
        <v>181813</v>
      </c>
      <c r="E358" s="8">
        <v>15366</v>
      </c>
      <c r="F358" s="8">
        <v>12674</v>
      </c>
      <c r="G358" s="8">
        <v>13485</v>
      </c>
      <c r="H358" s="8">
        <v>14557</v>
      </c>
      <c r="I358" s="8">
        <v>15549</v>
      </c>
      <c r="J358" s="8">
        <v>15566</v>
      </c>
      <c r="K358" s="8">
        <v>14632</v>
      </c>
      <c r="L358" s="8">
        <v>13977</v>
      </c>
      <c r="M358" s="8">
        <v>13823</v>
      </c>
      <c r="N358" s="8">
        <v>13288</v>
      </c>
      <c r="O358" s="8">
        <v>11720</v>
      </c>
      <c r="P358" s="8">
        <v>9032</v>
      </c>
      <c r="Q358" s="8">
        <v>6937</v>
      </c>
      <c r="R358" s="8">
        <v>4953</v>
      </c>
      <c r="S358" s="8">
        <v>3141</v>
      </c>
      <c r="T358" s="8">
        <v>3113</v>
      </c>
      <c r="U358" s="7">
        <f t="shared" si="20"/>
        <v>22.839400922926302</v>
      </c>
      <c r="V358" s="7">
        <f t="shared" si="21"/>
        <v>70.996573402341966</v>
      </c>
      <c r="W358" s="7">
        <f t="shared" si="22"/>
        <v>6.1640256747317297</v>
      </c>
      <c r="X358" s="7">
        <f>SUM(I358:L358)/D358*100</f>
        <v>32.849136200381714</v>
      </c>
      <c r="Y358" s="7">
        <f t="shared" si="23"/>
        <v>40.851868206784886</v>
      </c>
    </row>
    <row r="359" spans="1:25" x14ac:dyDescent="0.25">
      <c r="A359" s="57">
        <v>6403</v>
      </c>
      <c r="B359" t="s">
        <v>68</v>
      </c>
      <c r="C359" t="s">
        <v>437</v>
      </c>
      <c r="D359" s="8">
        <v>897918</v>
      </c>
      <c r="E359" s="8">
        <v>65811</v>
      </c>
      <c r="F359" s="8">
        <v>70391</v>
      </c>
      <c r="G359" s="8">
        <v>70376</v>
      </c>
      <c r="H359" s="8">
        <v>74289</v>
      </c>
      <c r="I359" s="8">
        <v>83659</v>
      </c>
      <c r="J359" s="8">
        <v>85836</v>
      </c>
      <c r="K359" s="8">
        <v>78600</v>
      </c>
      <c r="L359" s="8">
        <v>70890</v>
      </c>
      <c r="M359" s="8">
        <v>65110</v>
      </c>
      <c r="N359" s="8">
        <v>59664</v>
      </c>
      <c r="O359" s="8">
        <v>51884</v>
      </c>
      <c r="P359" s="8">
        <v>41530</v>
      </c>
      <c r="Q359" s="8">
        <v>31124</v>
      </c>
      <c r="R359" s="8">
        <v>21565</v>
      </c>
      <c r="S359" s="8">
        <v>13429</v>
      </c>
      <c r="T359" s="8">
        <v>13760</v>
      </c>
      <c r="U359" s="7">
        <f t="shared" si="20"/>
        <v>23.006332426791758</v>
      </c>
      <c r="V359" s="7">
        <f t="shared" si="21"/>
        <v>71.56399582144472</v>
      </c>
      <c r="W359" s="7">
        <f t="shared" si="22"/>
        <v>5.4296717517635242</v>
      </c>
      <c r="X359" s="7">
        <f>SUM(I359:L359)/D359*100</f>
        <v>35.524958849249039</v>
      </c>
      <c r="Y359" s="7">
        <f t="shared" si="23"/>
        <v>39.735070480838367</v>
      </c>
    </row>
    <row r="360" spans="1:25" x14ac:dyDescent="0.25">
      <c r="A360" s="57">
        <v>6404</v>
      </c>
      <c r="B360" t="s">
        <v>68</v>
      </c>
      <c r="C360" t="s">
        <v>438</v>
      </c>
      <c r="D360" s="8">
        <v>477695</v>
      </c>
      <c r="E360" s="8">
        <v>41074</v>
      </c>
      <c r="F360" s="8">
        <v>34008</v>
      </c>
      <c r="G360" s="8">
        <v>36444</v>
      </c>
      <c r="H360" s="8">
        <v>39122</v>
      </c>
      <c r="I360" s="8">
        <v>41262</v>
      </c>
      <c r="J360" s="8">
        <v>41348</v>
      </c>
      <c r="K360" s="8">
        <v>43025</v>
      </c>
      <c r="L360" s="8">
        <v>43925</v>
      </c>
      <c r="M360" s="8">
        <v>38743</v>
      </c>
      <c r="N360" s="8">
        <v>33932</v>
      </c>
      <c r="O360" s="8">
        <v>28617</v>
      </c>
      <c r="P360" s="8">
        <v>21805</v>
      </c>
      <c r="Q360" s="8">
        <v>14792</v>
      </c>
      <c r="R360" s="8">
        <v>9318</v>
      </c>
      <c r="S360" s="8">
        <v>5293</v>
      </c>
      <c r="T360" s="8">
        <v>4987</v>
      </c>
      <c r="U360" s="7">
        <f t="shared" si="20"/>
        <v>23.34669611362899</v>
      </c>
      <c r="V360" s="7">
        <f t="shared" si="21"/>
        <v>72.550686107244161</v>
      </c>
      <c r="W360" s="7">
        <f t="shared" si="22"/>
        <v>4.1026177791268488</v>
      </c>
      <c r="X360" s="7">
        <f>SUM(I360:L360)/D360*100</f>
        <v>35.495452119029927</v>
      </c>
      <c r="Y360" s="7">
        <f t="shared" si="23"/>
        <v>37.834671683435715</v>
      </c>
    </row>
    <row r="361" spans="1:25" x14ac:dyDescent="0.25">
      <c r="A361" s="57">
        <v>6405</v>
      </c>
      <c r="B361" t="s">
        <v>68</v>
      </c>
      <c r="C361" t="s">
        <v>439</v>
      </c>
      <c r="D361" s="8">
        <v>268689</v>
      </c>
      <c r="E361" s="8">
        <v>23128</v>
      </c>
      <c r="F361" s="8">
        <v>21756</v>
      </c>
      <c r="G361" s="8">
        <v>21338</v>
      </c>
      <c r="H361" s="8">
        <v>21386</v>
      </c>
      <c r="I361" s="8">
        <v>20989</v>
      </c>
      <c r="J361" s="8">
        <v>22514</v>
      </c>
      <c r="K361" s="8">
        <v>23295</v>
      </c>
      <c r="L361" s="8">
        <v>22862</v>
      </c>
      <c r="M361" s="8">
        <v>20722</v>
      </c>
      <c r="N361" s="8">
        <v>19289</v>
      </c>
      <c r="O361" s="8">
        <v>16601</v>
      </c>
      <c r="P361" s="8">
        <v>13106</v>
      </c>
      <c r="Q361" s="8">
        <v>9067</v>
      </c>
      <c r="R361" s="8">
        <v>5772</v>
      </c>
      <c r="S361" s="8">
        <v>3537</v>
      </c>
      <c r="T361" s="8">
        <v>3327</v>
      </c>
      <c r="U361" s="7">
        <f t="shared" si="20"/>
        <v>24.646338331677143</v>
      </c>
      <c r="V361" s="7">
        <f t="shared" si="21"/>
        <v>70.650826792313794</v>
      </c>
      <c r="W361" s="7">
        <f t="shared" si="22"/>
        <v>4.7028348760090664</v>
      </c>
      <c r="X361" s="7">
        <f>SUM(I361:L361)/D361*100</f>
        <v>33.369434550725934</v>
      </c>
      <c r="Y361" s="7">
        <f t="shared" si="23"/>
        <v>41.541160295209949</v>
      </c>
    </row>
    <row r="362" spans="1:25" x14ac:dyDescent="0.25">
      <c r="A362" s="57">
        <v>6409</v>
      </c>
      <c r="B362" t="s">
        <v>68</v>
      </c>
      <c r="C362" t="s">
        <v>440</v>
      </c>
      <c r="D362" s="8">
        <v>523288</v>
      </c>
      <c r="E362" s="8">
        <v>32204</v>
      </c>
      <c r="F362" s="8">
        <v>35313</v>
      </c>
      <c r="G362" s="8">
        <v>31816</v>
      </c>
      <c r="H362" s="8">
        <v>34724</v>
      </c>
      <c r="I362" s="8">
        <v>61860</v>
      </c>
      <c r="J362" s="8">
        <v>78559</v>
      </c>
      <c r="K362" s="8">
        <v>68073</v>
      </c>
      <c r="L362" s="8">
        <v>49229</v>
      </c>
      <c r="M362" s="8">
        <v>36949</v>
      </c>
      <c r="N362" s="8">
        <v>28207</v>
      </c>
      <c r="O362" s="8">
        <v>21333</v>
      </c>
      <c r="P362" s="8">
        <v>15945</v>
      </c>
      <c r="Q362" s="8">
        <v>11224</v>
      </c>
      <c r="R362" s="8">
        <v>7202</v>
      </c>
      <c r="S362" s="8">
        <v>4852</v>
      </c>
      <c r="T362" s="8">
        <v>5798</v>
      </c>
      <c r="U362" s="7">
        <f t="shared" si="20"/>
        <v>18.982472367033068</v>
      </c>
      <c r="V362" s="7">
        <f t="shared" si="21"/>
        <v>77.60602192291816</v>
      </c>
      <c r="W362" s="7">
        <f t="shared" si="22"/>
        <v>3.4115057100487687</v>
      </c>
      <c r="X362" s="7">
        <f>SUM(I362:L362)/D362*100</f>
        <v>49.250317224931592</v>
      </c>
      <c r="Y362" s="7">
        <f t="shared" si="23"/>
        <v>28.855979886875989</v>
      </c>
    </row>
    <row r="363" spans="1:25" x14ac:dyDescent="0.25">
      <c r="A363" s="57">
        <v>6411</v>
      </c>
      <c r="B363" t="s">
        <v>68</v>
      </c>
      <c r="C363" t="s">
        <v>441</v>
      </c>
      <c r="D363" s="8">
        <v>35245</v>
      </c>
      <c r="E363" s="8">
        <v>3431</v>
      </c>
      <c r="F363" s="8">
        <v>2393</v>
      </c>
      <c r="G363" s="8">
        <v>2481</v>
      </c>
      <c r="H363" s="8">
        <v>2608</v>
      </c>
      <c r="I363" s="8">
        <v>2877</v>
      </c>
      <c r="J363" s="8">
        <v>3538</v>
      </c>
      <c r="K363" s="8">
        <v>3435</v>
      </c>
      <c r="L363" s="8">
        <v>2670</v>
      </c>
      <c r="M363" s="8">
        <v>2437</v>
      </c>
      <c r="N363" s="8">
        <v>2239</v>
      </c>
      <c r="O363" s="8">
        <v>1814</v>
      </c>
      <c r="P363" s="8">
        <v>1531</v>
      </c>
      <c r="Q363" s="8">
        <v>1352</v>
      </c>
      <c r="R363" s="8">
        <v>1008</v>
      </c>
      <c r="S363" s="8">
        <v>659</v>
      </c>
      <c r="T363" s="8">
        <v>772</v>
      </c>
      <c r="U363" s="7">
        <f t="shared" si="20"/>
        <v>23.563626046247695</v>
      </c>
      <c r="V363" s="7">
        <f t="shared" si="21"/>
        <v>69.516243438785636</v>
      </c>
      <c r="W363" s="7">
        <f t="shared" si="22"/>
        <v>6.9201305149666617</v>
      </c>
      <c r="X363" s="7">
        <f>SUM(I363:L363)/D363*100</f>
        <v>35.52276918711874</v>
      </c>
      <c r="Y363" s="7">
        <f t="shared" si="23"/>
        <v>43.851271376678504</v>
      </c>
    </row>
    <row r="364" spans="1:25" x14ac:dyDescent="0.25">
      <c r="A364" s="57">
        <v>6471</v>
      </c>
      <c r="B364" t="s">
        <v>68</v>
      </c>
      <c r="C364" t="s">
        <v>442</v>
      </c>
      <c r="D364" s="8">
        <v>735912</v>
      </c>
      <c r="E364" s="8">
        <v>57343</v>
      </c>
      <c r="F364" s="8">
        <v>59998</v>
      </c>
      <c r="G364" s="8">
        <v>54586</v>
      </c>
      <c r="H364" s="8">
        <v>56508</v>
      </c>
      <c r="I364" s="8">
        <v>56716</v>
      </c>
      <c r="J364" s="8">
        <v>59056</v>
      </c>
      <c r="K364" s="8">
        <v>59427</v>
      </c>
      <c r="L364" s="8">
        <v>58253</v>
      </c>
      <c r="M364" s="8">
        <v>55672</v>
      </c>
      <c r="N364" s="8">
        <v>52739</v>
      </c>
      <c r="O364" s="8">
        <v>46077</v>
      </c>
      <c r="P364" s="8">
        <v>37454</v>
      </c>
      <c r="Q364" s="8">
        <v>30744</v>
      </c>
      <c r="R364" s="8">
        <v>22588</v>
      </c>
      <c r="S364" s="8">
        <v>15316</v>
      </c>
      <c r="T364" s="8">
        <v>13435</v>
      </c>
      <c r="U364" s="7">
        <f t="shared" si="20"/>
        <v>23.362440074356716</v>
      </c>
      <c r="V364" s="7">
        <f t="shared" si="21"/>
        <v>69.661318201089259</v>
      </c>
      <c r="W364" s="7">
        <f t="shared" si="22"/>
        <v>6.9762417245540238</v>
      </c>
      <c r="X364" s="7">
        <f>SUM(I364:L364)/D364*100</f>
        <v>31.722814684364437</v>
      </c>
      <c r="Y364" s="7">
        <f t="shared" si="23"/>
        <v>43.5516906403249</v>
      </c>
    </row>
    <row r="365" spans="1:25" x14ac:dyDescent="0.25">
      <c r="A365" s="57">
        <v>6472</v>
      </c>
      <c r="B365" t="s">
        <v>68</v>
      </c>
      <c r="C365" t="s">
        <v>443</v>
      </c>
      <c r="D365" s="8">
        <v>872306</v>
      </c>
      <c r="E365" s="8">
        <v>67494</v>
      </c>
      <c r="F365" s="8">
        <v>63572</v>
      </c>
      <c r="G365" s="8">
        <v>65014</v>
      </c>
      <c r="H365" s="8">
        <v>70003</v>
      </c>
      <c r="I365" s="8">
        <v>72711</v>
      </c>
      <c r="J365" s="8">
        <v>71277</v>
      </c>
      <c r="K365" s="8">
        <v>67615</v>
      </c>
      <c r="L365" s="8">
        <v>66775</v>
      </c>
      <c r="M365" s="8">
        <v>65396</v>
      </c>
      <c r="N365" s="8">
        <v>61949</v>
      </c>
      <c r="O365" s="8">
        <v>56214</v>
      </c>
      <c r="P365" s="8">
        <v>47875</v>
      </c>
      <c r="Q365" s="8">
        <v>38412</v>
      </c>
      <c r="R365" s="8">
        <v>26409</v>
      </c>
      <c r="S365" s="8">
        <v>16305</v>
      </c>
      <c r="T365" s="8">
        <v>15285</v>
      </c>
      <c r="U365" s="7">
        <f t="shared" si="20"/>
        <v>22.478350487099711</v>
      </c>
      <c r="V365" s="7">
        <f t="shared" si="21"/>
        <v>70.872721269829626</v>
      </c>
      <c r="W365" s="7">
        <f t="shared" si="22"/>
        <v>6.6489282430706664</v>
      </c>
      <c r="X365" s="7">
        <f>SUM(I365:L365)/D365*100</f>
        <v>31.912883781608748</v>
      </c>
      <c r="Y365" s="7">
        <f t="shared" si="23"/>
        <v>41.098010924789762</v>
      </c>
    </row>
    <row r="366" spans="1:25" x14ac:dyDescent="0.25">
      <c r="A366" s="57">
        <v>6474</v>
      </c>
      <c r="B366" t="s">
        <v>68</v>
      </c>
      <c r="C366" t="s">
        <v>444</v>
      </c>
      <c r="D366" s="8">
        <v>193097</v>
      </c>
      <c r="E366" s="8">
        <v>16689</v>
      </c>
      <c r="F366" s="8">
        <v>17240</v>
      </c>
      <c r="G366" s="8">
        <v>14595</v>
      </c>
      <c r="H366" s="8">
        <v>14876</v>
      </c>
      <c r="I366" s="8">
        <v>16402</v>
      </c>
      <c r="J366" s="8">
        <v>17496</v>
      </c>
      <c r="K366" s="8">
        <v>17576</v>
      </c>
      <c r="L366" s="8">
        <v>15854</v>
      </c>
      <c r="M366" s="8">
        <v>13377</v>
      </c>
      <c r="N366" s="8">
        <v>12031</v>
      </c>
      <c r="O366" s="8">
        <v>10270</v>
      </c>
      <c r="P366" s="8">
        <v>9233</v>
      </c>
      <c r="Q366" s="8">
        <v>7620</v>
      </c>
      <c r="R366" s="8">
        <v>4947</v>
      </c>
      <c r="S366" s="8">
        <v>2831</v>
      </c>
      <c r="T366" s="8">
        <v>2060</v>
      </c>
      <c r="U366" s="7">
        <f t="shared" si="20"/>
        <v>25.129339140432013</v>
      </c>
      <c r="V366" s="7">
        <f t="shared" si="21"/>
        <v>69.775812156584522</v>
      </c>
      <c r="W366" s="7">
        <f t="shared" si="22"/>
        <v>5.0948487029834748</v>
      </c>
      <c r="X366" s="7">
        <f>SUM(I366:L366)/D366*100</f>
        <v>34.867450038063765</v>
      </c>
      <c r="Y366" s="7">
        <f t="shared" si="23"/>
        <v>43.31613908783909</v>
      </c>
    </row>
    <row r="367" spans="1:25" x14ac:dyDescent="0.25">
      <c r="A367" s="57">
        <v>6501</v>
      </c>
      <c r="B367" t="s">
        <v>69</v>
      </c>
      <c r="C367" t="s">
        <v>445</v>
      </c>
      <c r="D367" s="8">
        <v>88445</v>
      </c>
      <c r="E367" s="8">
        <v>7812</v>
      </c>
      <c r="F367" s="8">
        <v>7030</v>
      </c>
      <c r="G367" s="8">
        <v>6724</v>
      </c>
      <c r="H367" s="8">
        <v>7464</v>
      </c>
      <c r="I367" s="8">
        <v>7882</v>
      </c>
      <c r="J367" s="8">
        <v>7667</v>
      </c>
      <c r="K367" s="8">
        <v>7586</v>
      </c>
      <c r="L367" s="8">
        <v>7418</v>
      </c>
      <c r="M367" s="8">
        <v>6604</v>
      </c>
      <c r="N367" s="8">
        <v>5974</v>
      </c>
      <c r="O367" s="8">
        <v>5067</v>
      </c>
      <c r="P367" s="8">
        <v>3757</v>
      </c>
      <c r="Q367" s="8">
        <v>2856</v>
      </c>
      <c r="R367" s="8">
        <v>1900</v>
      </c>
      <c r="S367" s="8">
        <v>1289</v>
      </c>
      <c r="T367" s="8">
        <v>1415</v>
      </c>
      <c r="U367" s="7">
        <f t="shared" si="20"/>
        <v>24.383515178924757</v>
      </c>
      <c r="V367" s="7">
        <f t="shared" si="21"/>
        <v>70.410989880716841</v>
      </c>
      <c r="W367" s="7">
        <f t="shared" si="22"/>
        <v>5.205494940358415</v>
      </c>
      <c r="X367" s="7">
        <f>SUM(I367:L367)/D367*100</f>
        <v>34.544632257335067</v>
      </c>
      <c r="Y367" s="7">
        <f t="shared" si="23"/>
        <v>42.023283821758326</v>
      </c>
    </row>
    <row r="368" spans="1:25" x14ac:dyDescent="0.25">
      <c r="A368" s="57">
        <v>6502</v>
      </c>
      <c r="B368" t="s">
        <v>69</v>
      </c>
      <c r="C368" t="s">
        <v>446</v>
      </c>
      <c r="D368" s="8">
        <v>164536</v>
      </c>
      <c r="E368" s="8">
        <v>14020</v>
      </c>
      <c r="F368" s="8">
        <v>12738</v>
      </c>
      <c r="G368" s="8">
        <v>11969</v>
      </c>
      <c r="H368" s="8">
        <v>13325</v>
      </c>
      <c r="I368" s="8">
        <v>14063</v>
      </c>
      <c r="J368" s="8">
        <v>13924</v>
      </c>
      <c r="K368" s="8">
        <v>13484</v>
      </c>
      <c r="L368" s="8">
        <v>13270</v>
      </c>
      <c r="M368" s="8">
        <v>12480</v>
      </c>
      <c r="N368" s="8">
        <v>11302</v>
      </c>
      <c r="O368" s="8">
        <v>9966</v>
      </c>
      <c r="P368" s="8">
        <v>7903</v>
      </c>
      <c r="Q368" s="8">
        <v>6262</v>
      </c>
      <c r="R368" s="8">
        <v>4364</v>
      </c>
      <c r="S368" s="8">
        <v>2785</v>
      </c>
      <c r="T368" s="8">
        <v>2681</v>
      </c>
      <c r="U368" s="7">
        <f t="shared" si="20"/>
        <v>23.537098264209654</v>
      </c>
      <c r="V368" s="7">
        <f t="shared" si="21"/>
        <v>70.488525307531475</v>
      </c>
      <c r="W368" s="7">
        <f t="shared" si="22"/>
        <v>5.9743764282588607</v>
      </c>
      <c r="X368" s="7">
        <f>SUM(I368:L368)/D368*100</f>
        <v>33.269922691690574</v>
      </c>
      <c r="Y368" s="7">
        <f t="shared" si="23"/>
        <v>41.867062140559931</v>
      </c>
    </row>
    <row r="369" spans="1:25" x14ac:dyDescent="0.25">
      <c r="A369" s="57">
        <v>6503</v>
      </c>
      <c r="B369" t="s">
        <v>69</v>
      </c>
      <c r="C369" t="s">
        <v>447</v>
      </c>
      <c r="D369" s="8">
        <v>29486</v>
      </c>
      <c r="E369" s="8">
        <v>3057</v>
      </c>
      <c r="F369" s="8">
        <v>2704</v>
      </c>
      <c r="G369" s="8">
        <v>2420</v>
      </c>
      <c r="H369" s="8">
        <v>2301</v>
      </c>
      <c r="I369" s="8">
        <v>2288</v>
      </c>
      <c r="J369" s="8">
        <v>2217</v>
      </c>
      <c r="K369" s="8">
        <v>2315</v>
      </c>
      <c r="L369" s="8">
        <v>2538</v>
      </c>
      <c r="M369" s="8">
        <v>2388</v>
      </c>
      <c r="N369" s="8">
        <v>2101</v>
      </c>
      <c r="O369" s="8">
        <v>1711</v>
      </c>
      <c r="P369" s="8">
        <v>1299</v>
      </c>
      <c r="Q369" s="8">
        <v>902</v>
      </c>
      <c r="R369" s="8">
        <v>579</v>
      </c>
      <c r="S369" s="8">
        <v>330</v>
      </c>
      <c r="T369" s="8">
        <v>336</v>
      </c>
      <c r="U369" s="7">
        <f t="shared" si="20"/>
        <v>27.745370684392594</v>
      </c>
      <c r="V369" s="7">
        <f t="shared" si="21"/>
        <v>68.032286508851655</v>
      </c>
      <c r="W369" s="7">
        <f t="shared" si="22"/>
        <v>4.2223428067557487</v>
      </c>
      <c r="X369" s="7">
        <f>SUM(I369:L369)/D369*100</f>
        <v>31.737095570779356</v>
      </c>
      <c r="Y369" s="7">
        <f t="shared" si="23"/>
        <v>46.989032901296113</v>
      </c>
    </row>
    <row r="370" spans="1:25" x14ac:dyDescent="0.25">
      <c r="A370" s="57">
        <v>6504</v>
      </c>
      <c r="B370" t="s">
        <v>69</v>
      </c>
      <c r="C370" t="s">
        <v>448</v>
      </c>
      <c r="D370" s="8">
        <v>216970</v>
      </c>
      <c r="E370" s="8">
        <v>19165</v>
      </c>
      <c r="F370" s="8">
        <v>16140</v>
      </c>
      <c r="G370" s="8">
        <v>15626</v>
      </c>
      <c r="H370" s="8">
        <v>18140</v>
      </c>
      <c r="I370" s="8">
        <v>18836</v>
      </c>
      <c r="J370" s="8">
        <v>18981</v>
      </c>
      <c r="K370" s="8">
        <v>18365</v>
      </c>
      <c r="L370" s="8">
        <v>17434</v>
      </c>
      <c r="M370" s="8">
        <v>15840</v>
      </c>
      <c r="N370" s="8">
        <v>14709</v>
      </c>
      <c r="O370" s="8">
        <v>13136</v>
      </c>
      <c r="P370" s="8">
        <v>10770</v>
      </c>
      <c r="Q370" s="8">
        <v>8103</v>
      </c>
      <c r="R370" s="8">
        <v>5419</v>
      </c>
      <c r="S370" s="8">
        <v>3142</v>
      </c>
      <c r="T370" s="8">
        <v>3164</v>
      </c>
      <c r="U370" s="7">
        <f t="shared" si="20"/>
        <v>23.473752131631102</v>
      </c>
      <c r="V370" s="7">
        <f t="shared" si="21"/>
        <v>71.122274968889712</v>
      </c>
      <c r="W370" s="7">
        <f t="shared" si="22"/>
        <v>5.4039728994791902</v>
      </c>
      <c r="X370" s="7">
        <f>SUM(I370:L370)/D370*100</f>
        <v>33.92911462414159</v>
      </c>
      <c r="Y370" s="7">
        <f t="shared" si="23"/>
        <v>40.602926500511941</v>
      </c>
    </row>
    <row r="371" spans="1:25" x14ac:dyDescent="0.25">
      <c r="A371" s="57">
        <v>6571</v>
      </c>
      <c r="B371" t="s">
        <v>69</v>
      </c>
      <c r="C371" t="s">
        <v>449</v>
      </c>
      <c r="D371" s="8">
        <v>259336</v>
      </c>
      <c r="E371" s="8">
        <v>22315</v>
      </c>
      <c r="F371" s="8">
        <v>21653</v>
      </c>
      <c r="G371" s="8">
        <v>19492</v>
      </c>
      <c r="H371" s="8">
        <v>21684</v>
      </c>
      <c r="I371" s="8">
        <v>21838</v>
      </c>
      <c r="J371" s="8">
        <v>21488</v>
      </c>
      <c r="K371" s="8">
        <v>20886</v>
      </c>
      <c r="L371" s="8">
        <v>20374</v>
      </c>
      <c r="M371" s="8">
        <v>19796</v>
      </c>
      <c r="N371" s="8">
        <v>18301</v>
      </c>
      <c r="O371" s="8">
        <v>15449</v>
      </c>
      <c r="P371" s="8">
        <v>12316</v>
      </c>
      <c r="Q371" s="8">
        <v>9390</v>
      </c>
      <c r="R371" s="8">
        <v>6523</v>
      </c>
      <c r="S371" s="8">
        <v>4254</v>
      </c>
      <c r="T371" s="8">
        <v>3577</v>
      </c>
      <c r="U371" s="7">
        <f t="shared" si="20"/>
        <v>24.470185396551191</v>
      </c>
      <c r="V371" s="7">
        <f t="shared" si="21"/>
        <v>69.994910078045464</v>
      </c>
      <c r="W371" s="7">
        <f t="shared" si="22"/>
        <v>5.5349045254033378</v>
      </c>
      <c r="X371" s="7">
        <f>SUM(I371:L371)/D371*100</f>
        <v>32.616374124687667</v>
      </c>
      <c r="Y371" s="7">
        <f t="shared" si="23"/>
        <v>42.867531208338384</v>
      </c>
    </row>
    <row r="372" spans="1:25" x14ac:dyDescent="0.25">
      <c r="A372" s="57">
        <v>7101</v>
      </c>
      <c r="B372" t="s">
        <v>70</v>
      </c>
      <c r="C372" t="s">
        <v>450</v>
      </c>
      <c r="D372" s="8">
        <v>261398</v>
      </c>
      <c r="E372" s="8">
        <v>19409</v>
      </c>
      <c r="F372" s="8">
        <v>19029</v>
      </c>
      <c r="G372" s="8">
        <v>20903</v>
      </c>
      <c r="H372" s="8">
        <v>22077</v>
      </c>
      <c r="I372" s="8">
        <v>20568</v>
      </c>
      <c r="J372" s="8">
        <v>20617</v>
      </c>
      <c r="K372" s="8">
        <v>19744</v>
      </c>
      <c r="L372" s="8">
        <v>17446</v>
      </c>
      <c r="M372" s="8">
        <v>17673</v>
      </c>
      <c r="N372" s="8">
        <v>18583</v>
      </c>
      <c r="O372" s="8">
        <v>16991</v>
      </c>
      <c r="P372" s="8">
        <v>15073</v>
      </c>
      <c r="Q372" s="8">
        <v>11851</v>
      </c>
      <c r="R372" s="8">
        <v>8868</v>
      </c>
      <c r="S372" s="8">
        <v>5893</v>
      </c>
      <c r="T372" s="8">
        <v>6673</v>
      </c>
      <c r="U372" s="7">
        <f t="shared" si="20"/>
        <v>22.70139786838461</v>
      </c>
      <c r="V372" s="7">
        <f t="shared" si="21"/>
        <v>69.098845438756229</v>
      </c>
      <c r="W372" s="7">
        <f t="shared" si="22"/>
        <v>8.1997566928591663</v>
      </c>
      <c r="X372" s="7">
        <f>SUM(I372:L372)/D372*100</f>
        <v>29.983014407149248</v>
      </c>
      <c r="Y372" s="7">
        <f t="shared" si="23"/>
        <v>44.720218355358952</v>
      </c>
    </row>
    <row r="373" spans="1:25" x14ac:dyDescent="0.25">
      <c r="A373" s="57">
        <v>7102</v>
      </c>
      <c r="B373" t="s">
        <v>70</v>
      </c>
      <c r="C373" t="s">
        <v>451</v>
      </c>
      <c r="D373" s="8">
        <v>356624</v>
      </c>
      <c r="E373" s="8">
        <v>23890</v>
      </c>
      <c r="F373" s="8">
        <v>24149</v>
      </c>
      <c r="G373" s="8">
        <v>24521</v>
      </c>
      <c r="H373" s="8">
        <v>23750</v>
      </c>
      <c r="I373" s="8">
        <v>25527</v>
      </c>
      <c r="J373" s="8">
        <v>26794</v>
      </c>
      <c r="K373" s="8">
        <v>25391</v>
      </c>
      <c r="L373" s="8">
        <v>23818</v>
      </c>
      <c r="M373" s="8">
        <v>23654</v>
      </c>
      <c r="N373" s="8">
        <v>24392</v>
      </c>
      <c r="O373" s="8">
        <v>24140</v>
      </c>
      <c r="P373" s="8">
        <v>22589</v>
      </c>
      <c r="Q373" s="8">
        <v>19876</v>
      </c>
      <c r="R373" s="8">
        <v>16381</v>
      </c>
      <c r="S373" s="8">
        <v>12427</v>
      </c>
      <c r="T373" s="8">
        <v>15325</v>
      </c>
      <c r="U373" s="7">
        <f t="shared" si="20"/>
        <v>20.346359190632153</v>
      </c>
      <c r="V373" s="7">
        <f t="shared" si="21"/>
        <v>67.278422091614701</v>
      </c>
      <c r="W373" s="7">
        <f t="shared" si="22"/>
        <v>12.375218717753151</v>
      </c>
      <c r="X373" s="7">
        <f>SUM(I373:L373)/D373*100</f>
        <v>28.469760868589887</v>
      </c>
      <c r="Y373" s="7">
        <f t="shared" si="23"/>
        <v>48.636066202366514</v>
      </c>
    </row>
    <row r="374" spans="1:25" x14ac:dyDescent="0.25">
      <c r="A374" s="57">
        <v>7103</v>
      </c>
      <c r="B374" t="s">
        <v>70</v>
      </c>
      <c r="C374" t="s">
        <v>452</v>
      </c>
      <c r="D374" s="8">
        <v>144408</v>
      </c>
      <c r="E374" s="8">
        <v>10305</v>
      </c>
      <c r="F374" s="8">
        <v>8916</v>
      </c>
      <c r="G374" s="8">
        <v>9883</v>
      </c>
      <c r="H374" s="8">
        <v>9619</v>
      </c>
      <c r="I374" s="8">
        <v>9481</v>
      </c>
      <c r="J374" s="8">
        <v>10397</v>
      </c>
      <c r="K374" s="8">
        <v>11801</v>
      </c>
      <c r="L374" s="8">
        <v>11743</v>
      </c>
      <c r="M374" s="8">
        <v>10702</v>
      </c>
      <c r="N374" s="8">
        <v>9769</v>
      </c>
      <c r="O374" s="8">
        <v>9275</v>
      </c>
      <c r="P374" s="8">
        <v>8815</v>
      </c>
      <c r="Q374" s="8">
        <v>8303</v>
      </c>
      <c r="R374" s="8">
        <v>6391</v>
      </c>
      <c r="S374" s="8">
        <v>4297</v>
      </c>
      <c r="T374" s="8">
        <v>4711</v>
      </c>
      <c r="U374" s="7">
        <f t="shared" si="20"/>
        <v>20.154008088194562</v>
      </c>
      <c r="V374" s="7">
        <f t="shared" si="21"/>
        <v>69.18245526563625</v>
      </c>
      <c r="W374" s="7">
        <f t="shared" si="22"/>
        <v>10.663536646169188</v>
      </c>
      <c r="X374" s="7">
        <f>SUM(I374:L374)/D374*100</f>
        <v>30.0689712481303</v>
      </c>
      <c r="Y374" s="7">
        <f t="shared" si="23"/>
        <v>44.54531805214954</v>
      </c>
    </row>
    <row r="375" spans="1:25" x14ac:dyDescent="0.25">
      <c r="A375" s="57">
        <v>7104</v>
      </c>
      <c r="B375" t="s">
        <v>70</v>
      </c>
      <c r="C375" t="s">
        <v>453</v>
      </c>
      <c r="D375" s="8">
        <v>100244</v>
      </c>
      <c r="E375" s="8">
        <v>7602</v>
      </c>
      <c r="F375" s="8">
        <v>6783</v>
      </c>
      <c r="G375" s="8">
        <v>7313</v>
      </c>
      <c r="H375" s="8">
        <v>7611</v>
      </c>
      <c r="I375" s="8">
        <v>7265</v>
      </c>
      <c r="J375" s="8">
        <v>7724</v>
      </c>
      <c r="K375" s="8">
        <v>7683</v>
      </c>
      <c r="L375" s="8">
        <v>7766</v>
      </c>
      <c r="M375" s="8">
        <v>7189</v>
      </c>
      <c r="N375" s="8">
        <v>7422</v>
      </c>
      <c r="O375" s="8">
        <v>6225</v>
      </c>
      <c r="P375" s="8">
        <v>5192</v>
      </c>
      <c r="Q375" s="8">
        <v>4794</v>
      </c>
      <c r="R375" s="8">
        <v>3995</v>
      </c>
      <c r="S375" s="8">
        <v>2719</v>
      </c>
      <c r="T375" s="8">
        <v>2961</v>
      </c>
      <c r="U375" s="7">
        <f t="shared" si="20"/>
        <v>21.645185746777862</v>
      </c>
      <c r="V375" s="7">
        <f t="shared" si="21"/>
        <v>68.703363792346678</v>
      </c>
      <c r="W375" s="7">
        <f t="shared" si="22"/>
        <v>9.6514504608754645</v>
      </c>
      <c r="X375" s="7">
        <f>SUM(I375:L375)/D375*100</f>
        <v>30.363912054586805</v>
      </c>
      <c r="Y375" s="7">
        <f t="shared" si="23"/>
        <v>45.553280771297061</v>
      </c>
    </row>
    <row r="376" spans="1:25" x14ac:dyDescent="0.25">
      <c r="A376" s="57">
        <v>7105</v>
      </c>
      <c r="B376" t="s">
        <v>70</v>
      </c>
      <c r="C376" t="s">
        <v>454</v>
      </c>
      <c r="D376" s="8">
        <v>243684</v>
      </c>
      <c r="E376" s="8">
        <v>16927</v>
      </c>
      <c r="F376" s="8">
        <v>16870</v>
      </c>
      <c r="G376" s="8">
        <v>17867</v>
      </c>
      <c r="H376" s="8">
        <v>17826</v>
      </c>
      <c r="I376" s="8">
        <v>18561</v>
      </c>
      <c r="J376" s="8">
        <v>18732</v>
      </c>
      <c r="K376" s="8">
        <v>17226</v>
      </c>
      <c r="L376" s="8">
        <v>15725</v>
      </c>
      <c r="M376" s="8">
        <v>15176</v>
      </c>
      <c r="N376" s="8">
        <v>16619</v>
      </c>
      <c r="O376" s="8">
        <v>16375</v>
      </c>
      <c r="P376" s="8">
        <v>15018</v>
      </c>
      <c r="Q376" s="8">
        <v>12615</v>
      </c>
      <c r="R376" s="8">
        <v>10624</v>
      </c>
      <c r="S376" s="8">
        <v>8026</v>
      </c>
      <c r="T376" s="8">
        <v>9497</v>
      </c>
      <c r="U376" s="7">
        <f t="shared" si="20"/>
        <v>21.201227819635264</v>
      </c>
      <c r="V376" s="7">
        <f t="shared" si="21"/>
        <v>67.248157449812055</v>
      </c>
      <c r="W376" s="7">
        <f t="shared" si="22"/>
        <v>11.550614730552683</v>
      </c>
      <c r="X376" s="7">
        <f>SUM(I376:L376)/D376*100</f>
        <v>28.825856437024999</v>
      </c>
      <c r="Y376" s="7">
        <f t="shared" si="23"/>
        <v>48.702958998736825</v>
      </c>
    </row>
    <row r="377" spans="1:25" x14ac:dyDescent="0.25">
      <c r="A377" s="57">
        <v>7106</v>
      </c>
      <c r="B377" t="s">
        <v>70</v>
      </c>
      <c r="C377" t="s">
        <v>455</v>
      </c>
      <c r="D377" s="8">
        <v>237708</v>
      </c>
      <c r="E377" s="8">
        <v>17391</v>
      </c>
      <c r="F377" s="8">
        <v>16917</v>
      </c>
      <c r="G377" s="8">
        <v>17903</v>
      </c>
      <c r="H377" s="8">
        <v>17826</v>
      </c>
      <c r="I377" s="8">
        <v>17596</v>
      </c>
      <c r="J377" s="8">
        <v>18411</v>
      </c>
      <c r="K377" s="8">
        <v>18495</v>
      </c>
      <c r="L377" s="8">
        <v>17989</v>
      </c>
      <c r="M377" s="8">
        <v>16704</v>
      </c>
      <c r="N377" s="8">
        <v>16377</v>
      </c>
      <c r="O377" s="8">
        <v>14899</v>
      </c>
      <c r="P377" s="8">
        <v>13531</v>
      </c>
      <c r="Q377" s="8">
        <v>11381</v>
      </c>
      <c r="R377" s="8">
        <v>8976</v>
      </c>
      <c r="S377" s="8">
        <v>6559</v>
      </c>
      <c r="T377" s="8">
        <v>6753</v>
      </c>
      <c r="U377" s="7">
        <f t="shared" si="20"/>
        <v>21.964342807141534</v>
      </c>
      <c r="V377" s="7">
        <f t="shared" si="21"/>
        <v>68.659447725781206</v>
      </c>
      <c r="W377" s="7">
        <f t="shared" si="22"/>
        <v>9.3762094670772544</v>
      </c>
      <c r="X377" s="7">
        <f>SUM(I377:L377)/D377*100</f>
        <v>30.495818399044204</v>
      </c>
      <c r="Y377" s="7">
        <f t="shared" si="23"/>
        <v>45.64637979523188</v>
      </c>
    </row>
    <row r="378" spans="1:25" x14ac:dyDescent="0.25">
      <c r="A378" s="57">
        <v>7107</v>
      </c>
      <c r="B378" t="s">
        <v>70</v>
      </c>
      <c r="C378" t="s">
        <v>456</v>
      </c>
      <c r="D378" s="8">
        <v>89348</v>
      </c>
      <c r="E378" s="8">
        <v>7119</v>
      </c>
      <c r="F378" s="8">
        <v>7422</v>
      </c>
      <c r="G378" s="8">
        <v>7418</v>
      </c>
      <c r="H378" s="8">
        <v>7479</v>
      </c>
      <c r="I378" s="8">
        <v>7363</v>
      </c>
      <c r="J378" s="8">
        <v>7051</v>
      </c>
      <c r="K378" s="8">
        <v>7060</v>
      </c>
      <c r="L378" s="8">
        <v>6177</v>
      </c>
      <c r="M378" s="8">
        <v>6240</v>
      </c>
      <c r="N378" s="8">
        <v>5792</v>
      </c>
      <c r="O378" s="8">
        <v>5327</v>
      </c>
      <c r="P378" s="8">
        <v>4524</v>
      </c>
      <c r="Q378" s="8">
        <v>3801</v>
      </c>
      <c r="R378" s="8">
        <v>2773</v>
      </c>
      <c r="S378" s="8">
        <v>1884</v>
      </c>
      <c r="T378" s="8">
        <v>1918</v>
      </c>
      <c r="U378" s="7">
        <f t="shared" si="20"/>
        <v>24.576935130053272</v>
      </c>
      <c r="V378" s="7">
        <f t="shared" si="21"/>
        <v>68.064198415185558</v>
      </c>
      <c r="W378" s="7">
        <f t="shared" si="22"/>
        <v>7.3588664547611593</v>
      </c>
      <c r="X378" s="7">
        <f>SUM(I378:L378)/D378*100</f>
        <v>30.947531002372745</v>
      </c>
      <c r="Y378" s="7">
        <f t="shared" si="23"/>
        <v>46.920117078304337</v>
      </c>
    </row>
    <row r="379" spans="1:25" x14ac:dyDescent="0.25">
      <c r="A379" s="57">
        <v>7108</v>
      </c>
      <c r="B379" t="s">
        <v>70</v>
      </c>
      <c r="C379" t="s">
        <v>457</v>
      </c>
      <c r="D379" s="8">
        <v>74938</v>
      </c>
      <c r="E379" s="8">
        <v>5376</v>
      </c>
      <c r="F379" s="8">
        <v>4529</v>
      </c>
      <c r="G379" s="8">
        <v>5104</v>
      </c>
      <c r="H379" s="8">
        <v>4900</v>
      </c>
      <c r="I379" s="8">
        <v>5072</v>
      </c>
      <c r="J379" s="8">
        <v>5471</v>
      </c>
      <c r="K379" s="8">
        <v>5742</v>
      </c>
      <c r="L379" s="8">
        <v>6199</v>
      </c>
      <c r="M379" s="8">
        <v>5338</v>
      </c>
      <c r="N379" s="8">
        <v>4783</v>
      </c>
      <c r="O379" s="8">
        <v>4735</v>
      </c>
      <c r="P379" s="8">
        <v>4716</v>
      </c>
      <c r="Q379" s="8">
        <v>4473</v>
      </c>
      <c r="R379" s="8">
        <v>3473</v>
      </c>
      <c r="S379" s="8">
        <v>2327</v>
      </c>
      <c r="T379" s="8">
        <v>2700</v>
      </c>
      <c r="U379" s="7">
        <f t="shared" si="20"/>
        <v>20.028556940404069</v>
      </c>
      <c r="V379" s="7">
        <f t="shared" si="21"/>
        <v>68.628733086017775</v>
      </c>
      <c r="W379" s="7">
        <f t="shared" si="22"/>
        <v>11.342709973578158</v>
      </c>
      <c r="X379" s="7">
        <f>SUM(I379:L379)/D379*100</f>
        <v>30.003469534815448</v>
      </c>
      <c r="Y379" s="7">
        <f t="shared" si="23"/>
        <v>45.711563514748491</v>
      </c>
    </row>
    <row r="380" spans="1:25" x14ac:dyDescent="0.25">
      <c r="A380" s="57">
        <v>7109</v>
      </c>
      <c r="B380" t="s">
        <v>70</v>
      </c>
      <c r="C380" t="s">
        <v>458</v>
      </c>
      <c r="D380" s="8">
        <v>122605</v>
      </c>
      <c r="E380" s="8">
        <v>9462</v>
      </c>
      <c r="F380" s="8">
        <v>9897</v>
      </c>
      <c r="G380" s="8">
        <v>9811</v>
      </c>
      <c r="H380" s="8">
        <v>9872</v>
      </c>
      <c r="I380" s="8">
        <v>9682</v>
      </c>
      <c r="J380" s="8">
        <v>9742</v>
      </c>
      <c r="K380" s="8">
        <v>8909</v>
      </c>
      <c r="L380" s="8">
        <v>7896</v>
      </c>
      <c r="M380" s="8">
        <v>7557</v>
      </c>
      <c r="N380" s="8">
        <v>8075</v>
      </c>
      <c r="O380" s="8">
        <v>7805</v>
      </c>
      <c r="P380" s="8">
        <v>7136</v>
      </c>
      <c r="Q380" s="8">
        <v>5743</v>
      </c>
      <c r="R380" s="8">
        <v>4301</v>
      </c>
      <c r="S380" s="8">
        <v>3140</v>
      </c>
      <c r="T380" s="8">
        <v>3577</v>
      </c>
      <c r="U380" s="7">
        <f t="shared" si="20"/>
        <v>23.791851882060275</v>
      </c>
      <c r="V380" s="7">
        <f t="shared" si="21"/>
        <v>67.221565189021661</v>
      </c>
      <c r="W380" s="7">
        <f t="shared" si="22"/>
        <v>8.9865829289180699</v>
      </c>
      <c r="X380" s="7">
        <f>SUM(I380:L380)/D380*100</f>
        <v>29.549365849679866</v>
      </c>
      <c r="Y380" s="7">
        <f t="shared" si="23"/>
        <v>48.761784583277723</v>
      </c>
    </row>
    <row r="381" spans="1:25" x14ac:dyDescent="0.25">
      <c r="A381" s="57">
        <v>7110</v>
      </c>
      <c r="B381" t="s">
        <v>70</v>
      </c>
      <c r="C381" t="s">
        <v>459</v>
      </c>
      <c r="D381" s="8">
        <v>74490</v>
      </c>
      <c r="E381" s="8">
        <v>6245</v>
      </c>
      <c r="F381" s="8">
        <v>6351</v>
      </c>
      <c r="G381" s="8">
        <v>6538</v>
      </c>
      <c r="H381" s="8">
        <v>6783</v>
      </c>
      <c r="I381" s="8">
        <v>6245</v>
      </c>
      <c r="J381" s="8">
        <v>5869</v>
      </c>
      <c r="K381" s="8">
        <v>6012</v>
      </c>
      <c r="L381" s="8">
        <v>5421</v>
      </c>
      <c r="M381" s="8">
        <v>5311</v>
      </c>
      <c r="N381" s="8">
        <v>5048</v>
      </c>
      <c r="O381" s="8">
        <v>4187</v>
      </c>
      <c r="P381" s="8">
        <v>3353</v>
      </c>
      <c r="Q381" s="8">
        <v>2655</v>
      </c>
      <c r="R381" s="8">
        <v>1962</v>
      </c>
      <c r="S381" s="8">
        <v>1266</v>
      </c>
      <c r="T381" s="8">
        <v>1244</v>
      </c>
      <c r="U381" s="7">
        <f t="shared" si="20"/>
        <v>25.686669351590819</v>
      </c>
      <c r="V381" s="7">
        <f t="shared" si="21"/>
        <v>68.309840247013014</v>
      </c>
      <c r="W381" s="7">
        <f t="shared" si="22"/>
        <v>6.0034904013961601</v>
      </c>
      <c r="X381" s="7">
        <f>SUM(I381:L381)/D381*100</f>
        <v>31.610954490535644</v>
      </c>
      <c r="Y381" s="7">
        <f t="shared" si="23"/>
        <v>46.391793098026888</v>
      </c>
    </row>
    <row r="382" spans="1:25" x14ac:dyDescent="0.25">
      <c r="A382" s="57">
        <v>7111</v>
      </c>
      <c r="B382" t="s">
        <v>70</v>
      </c>
      <c r="C382" t="s">
        <v>460</v>
      </c>
      <c r="D382" s="8">
        <v>94242</v>
      </c>
      <c r="E382" s="8">
        <v>7475</v>
      </c>
      <c r="F382" s="8">
        <v>6520</v>
      </c>
      <c r="G382" s="8">
        <v>7197</v>
      </c>
      <c r="H382" s="8">
        <v>7359</v>
      </c>
      <c r="I382" s="8">
        <v>7049</v>
      </c>
      <c r="J382" s="8">
        <v>7393</v>
      </c>
      <c r="K382" s="8">
        <v>7739</v>
      </c>
      <c r="L382" s="8">
        <v>7083</v>
      </c>
      <c r="M382" s="8">
        <v>6748</v>
      </c>
      <c r="N382" s="8">
        <v>6816</v>
      </c>
      <c r="O382" s="8">
        <v>6033</v>
      </c>
      <c r="P382" s="8">
        <v>5369</v>
      </c>
      <c r="Q382" s="8">
        <v>4241</v>
      </c>
      <c r="R382" s="8">
        <v>3143</v>
      </c>
      <c r="S382" s="8">
        <v>2043</v>
      </c>
      <c r="T382" s="8">
        <v>2034</v>
      </c>
      <c r="U382" s="7">
        <f t="shared" si="20"/>
        <v>22.48678932959827</v>
      </c>
      <c r="V382" s="7">
        <f t="shared" si="21"/>
        <v>69.852082935421578</v>
      </c>
      <c r="W382" s="7">
        <f t="shared" si="22"/>
        <v>7.6611277349801572</v>
      </c>
      <c r="X382" s="7">
        <f>SUM(I382:L382)/D382*100</f>
        <v>31.051972581227055</v>
      </c>
      <c r="Y382" s="7">
        <f t="shared" si="23"/>
        <v>43.159653653349537</v>
      </c>
    </row>
    <row r="383" spans="1:25" x14ac:dyDescent="0.25">
      <c r="A383" s="57">
        <v>7171</v>
      </c>
      <c r="B383" t="s">
        <v>70</v>
      </c>
      <c r="C383" t="s">
        <v>461</v>
      </c>
      <c r="D383" s="8">
        <v>463564</v>
      </c>
      <c r="E383" s="8">
        <v>33788</v>
      </c>
      <c r="F383" s="8">
        <v>34190</v>
      </c>
      <c r="G383" s="8">
        <v>34137</v>
      </c>
      <c r="H383" s="8">
        <v>32328</v>
      </c>
      <c r="I383" s="8">
        <v>32603</v>
      </c>
      <c r="J383" s="8">
        <v>34681</v>
      </c>
      <c r="K383" s="8">
        <v>35825</v>
      </c>
      <c r="L383" s="8">
        <v>36500</v>
      </c>
      <c r="M383" s="8">
        <v>34229</v>
      </c>
      <c r="N383" s="8">
        <v>31439</v>
      </c>
      <c r="O383" s="8">
        <v>28970</v>
      </c>
      <c r="P383" s="8">
        <v>27116</v>
      </c>
      <c r="Q383" s="8">
        <v>23730</v>
      </c>
      <c r="R383" s="8">
        <v>18414</v>
      </c>
      <c r="S383" s="8">
        <v>12515</v>
      </c>
      <c r="T383" s="8">
        <v>13099</v>
      </c>
      <c r="U383" s="7">
        <f t="shared" si="20"/>
        <v>22.028242055034472</v>
      </c>
      <c r="V383" s="7">
        <f t="shared" si="21"/>
        <v>68.474040261970302</v>
      </c>
      <c r="W383" s="7">
        <f t="shared" si="22"/>
        <v>9.4977176829952281</v>
      </c>
      <c r="X383" s="7">
        <f>SUM(I383:L383)/D383*100</f>
        <v>30.116445625630984</v>
      </c>
      <c r="Y383" s="7">
        <f t="shared" si="23"/>
        <v>46.040747146534102</v>
      </c>
    </row>
    <row r="384" spans="1:25" x14ac:dyDescent="0.25">
      <c r="A384" s="57">
        <v>7172</v>
      </c>
      <c r="B384" t="s">
        <v>70</v>
      </c>
      <c r="C384" t="s">
        <v>462</v>
      </c>
      <c r="D384" s="8">
        <v>239840</v>
      </c>
      <c r="E384" s="8">
        <v>18488</v>
      </c>
      <c r="F384" s="8">
        <v>18047</v>
      </c>
      <c r="G384" s="8">
        <v>18734</v>
      </c>
      <c r="H384" s="8">
        <v>18949</v>
      </c>
      <c r="I384" s="8">
        <v>18525</v>
      </c>
      <c r="J384" s="8">
        <v>18624</v>
      </c>
      <c r="K384" s="8">
        <v>18648</v>
      </c>
      <c r="L384" s="8">
        <v>18502</v>
      </c>
      <c r="M384" s="8">
        <v>18213</v>
      </c>
      <c r="N384" s="8">
        <v>17337</v>
      </c>
      <c r="O384" s="8">
        <v>15535</v>
      </c>
      <c r="P384" s="8">
        <v>13052</v>
      </c>
      <c r="Q384" s="8">
        <v>10138</v>
      </c>
      <c r="R384" s="8">
        <v>7580</v>
      </c>
      <c r="S384" s="8">
        <v>4863</v>
      </c>
      <c r="T384" s="8">
        <v>4605</v>
      </c>
      <c r="U384" s="7">
        <f t="shared" si="20"/>
        <v>23.044112741827885</v>
      </c>
      <c r="V384" s="7">
        <f t="shared" si="21"/>
        <v>69.847815210140098</v>
      </c>
      <c r="W384" s="7">
        <f t="shared" si="22"/>
        <v>7.108072048032021</v>
      </c>
      <c r="X384" s="7">
        <f>SUM(I384:L384)/D384*100</f>
        <v>30.978569046030685</v>
      </c>
      <c r="Y384" s="7">
        <f t="shared" si="23"/>
        <v>43.168400756910991</v>
      </c>
    </row>
    <row r="385" spans="1:25" x14ac:dyDescent="0.25">
      <c r="A385" s="57">
        <v>7173</v>
      </c>
      <c r="B385" t="s">
        <v>70</v>
      </c>
      <c r="C385" t="s">
        <v>463</v>
      </c>
      <c r="D385" s="8">
        <v>105651</v>
      </c>
      <c r="E385" s="8">
        <v>7466</v>
      </c>
      <c r="F385" s="8">
        <v>8021</v>
      </c>
      <c r="G385" s="8">
        <v>7600</v>
      </c>
      <c r="H385" s="8">
        <v>7187</v>
      </c>
      <c r="I385" s="8">
        <v>7594</v>
      </c>
      <c r="J385" s="8">
        <v>7787</v>
      </c>
      <c r="K385" s="8">
        <v>7517</v>
      </c>
      <c r="L385" s="8">
        <v>7522</v>
      </c>
      <c r="M385" s="8">
        <v>7080</v>
      </c>
      <c r="N385" s="8">
        <v>7061</v>
      </c>
      <c r="O385" s="8">
        <v>7281</v>
      </c>
      <c r="P385" s="8">
        <v>6562</v>
      </c>
      <c r="Q385" s="8">
        <v>5516</v>
      </c>
      <c r="R385" s="8">
        <v>4330</v>
      </c>
      <c r="S385" s="8">
        <v>3283</v>
      </c>
      <c r="T385" s="8">
        <v>3844</v>
      </c>
      <c r="U385" s="7">
        <f t="shared" si="20"/>
        <v>21.852135805624179</v>
      </c>
      <c r="V385" s="7">
        <f t="shared" si="21"/>
        <v>67.303669629251033</v>
      </c>
      <c r="W385" s="7">
        <f t="shared" si="22"/>
        <v>10.844194565124797</v>
      </c>
      <c r="X385" s="7">
        <f>SUM(I385:L385)/D385*100</f>
        <v>28.792912513842744</v>
      </c>
      <c r="Y385" s="7">
        <f t="shared" si="23"/>
        <v>48.580308549087988</v>
      </c>
    </row>
    <row r="386" spans="1:25" x14ac:dyDescent="0.25">
      <c r="A386" s="57">
        <v>7174</v>
      </c>
      <c r="B386" t="s">
        <v>70</v>
      </c>
      <c r="C386" t="s">
        <v>464</v>
      </c>
      <c r="D386" s="8">
        <v>131721</v>
      </c>
      <c r="E386" s="8">
        <v>10202</v>
      </c>
      <c r="F386" s="8">
        <v>10030</v>
      </c>
      <c r="G386" s="8">
        <v>9972</v>
      </c>
      <c r="H386" s="8">
        <v>9670</v>
      </c>
      <c r="I386" s="8">
        <v>9827</v>
      </c>
      <c r="J386" s="8">
        <v>10386</v>
      </c>
      <c r="K386" s="8">
        <v>10390</v>
      </c>
      <c r="L386" s="8">
        <v>9575</v>
      </c>
      <c r="M386" s="8">
        <v>10287</v>
      </c>
      <c r="N386" s="8">
        <v>9287</v>
      </c>
      <c r="O386" s="8">
        <v>8083</v>
      </c>
      <c r="P386" s="8">
        <v>7621</v>
      </c>
      <c r="Q386" s="8">
        <v>6263</v>
      </c>
      <c r="R386" s="8">
        <v>4534</v>
      </c>
      <c r="S386" s="8">
        <v>2865</v>
      </c>
      <c r="T386" s="8">
        <v>2729</v>
      </c>
      <c r="U386" s="7">
        <f t="shared" si="20"/>
        <v>22.930284464891702</v>
      </c>
      <c r="V386" s="7">
        <f t="shared" si="21"/>
        <v>69.380736556813261</v>
      </c>
      <c r="W386" s="7">
        <f t="shared" si="22"/>
        <v>7.6889789782950331</v>
      </c>
      <c r="X386" s="7">
        <f>SUM(I386:L386)/D386*100</f>
        <v>30.502349663303498</v>
      </c>
      <c r="Y386" s="7">
        <f t="shared" si="23"/>
        <v>44.132225979056564</v>
      </c>
    </row>
    <row r="387" spans="1:25" x14ac:dyDescent="0.25">
      <c r="A387" s="57">
        <v>7201</v>
      </c>
      <c r="B387" t="s">
        <v>71</v>
      </c>
      <c r="C387" t="s">
        <v>465</v>
      </c>
      <c r="D387" s="8">
        <v>126865</v>
      </c>
      <c r="E387" s="8">
        <v>10570</v>
      </c>
      <c r="F387" s="8">
        <v>10461</v>
      </c>
      <c r="G387" s="8">
        <v>11303</v>
      </c>
      <c r="H387" s="8">
        <v>11114</v>
      </c>
      <c r="I387" s="8">
        <v>10843</v>
      </c>
      <c r="J387" s="8">
        <v>10205</v>
      </c>
      <c r="K387" s="8">
        <v>9086</v>
      </c>
      <c r="L387" s="8">
        <v>8836</v>
      </c>
      <c r="M387" s="8">
        <v>8951</v>
      </c>
      <c r="N387" s="8">
        <v>8435</v>
      </c>
      <c r="O387" s="8">
        <v>7340</v>
      </c>
      <c r="P387" s="8">
        <v>6174</v>
      </c>
      <c r="Q387" s="8">
        <v>5116</v>
      </c>
      <c r="R387" s="8">
        <v>3694</v>
      </c>
      <c r="S387" s="8">
        <v>2505</v>
      </c>
      <c r="T387" s="8">
        <v>2232</v>
      </c>
      <c r="U387" s="7">
        <f t="shared" ref="U387:U450" si="24">SUM(E387:G387)/D387*100</f>
        <v>25.486934930831989</v>
      </c>
      <c r="V387" s="7">
        <f t="shared" ref="V387:V450" si="25">SUM(H387:Q387)/D387*100</f>
        <v>67.867418121625349</v>
      </c>
      <c r="W387" s="7">
        <f t="shared" ref="W387:W450" si="26">SUM(R387:T387)/D387*100</f>
        <v>6.6456469475426632</v>
      </c>
      <c r="X387" s="7">
        <f>SUM(I387:L387)/D387*100</f>
        <v>30.717692034840184</v>
      </c>
      <c r="Y387" s="7">
        <f t="shared" ref="Y387:Y450" si="27">SUM(E387:G387,R387:T387)/SUM(H387:Q387)*100</f>
        <v>47.346109175377464</v>
      </c>
    </row>
    <row r="388" spans="1:25" x14ac:dyDescent="0.25">
      <c r="A388" s="57">
        <v>7202</v>
      </c>
      <c r="B388" t="s">
        <v>71</v>
      </c>
      <c r="C388" t="s">
        <v>466</v>
      </c>
      <c r="D388" s="8">
        <v>385116</v>
      </c>
      <c r="E388" s="8">
        <v>31576</v>
      </c>
      <c r="F388" s="8">
        <v>31982</v>
      </c>
      <c r="G388" s="8">
        <v>29635</v>
      </c>
      <c r="H388" s="8">
        <v>30783</v>
      </c>
      <c r="I388" s="8">
        <v>31666</v>
      </c>
      <c r="J388" s="8">
        <v>30538</v>
      </c>
      <c r="K388" s="8">
        <v>28728</v>
      </c>
      <c r="L388" s="8">
        <v>28832</v>
      </c>
      <c r="M388" s="8">
        <v>28426</v>
      </c>
      <c r="N388" s="8">
        <v>26394</v>
      </c>
      <c r="O388" s="8">
        <v>23556</v>
      </c>
      <c r="P388" s="8">
        <v>19309</v>
      </c>
      <c r="Q388" s="8">
        <v>15918</v>
      </c>
      <c r="R388" s="8">
        <v>11680</v>
      </c>
      <c r="S388" s="8">
        <v>8233</v>
      </c>
      <c r="T388" s="8">
        <v>7860</v>
      </c>
      <c r="U388" s="7">
        <f t="shared" si="24"/>
        <v>24.198682994214728</v>
      </c>
      <c r="V388" s="7">
        <f t="shared" si="25"/>
        <v>68.589723615741747</v>
      </c>
      <c r="W388" s="7">
        <f t="shared" si="26"/>
        <v>7.211593390043519</v>
      </c>
      <c r="X388" s="7">
        <f>SUM(I388:L388)/D388*100</f>
        <v>31.098162631518818</v>
      </c>
      <c r="Y388" s="7">
        <f t="shared" si="27"/>
        <v>45.794434980124933</v>
      </c>
    </row>
    <row r="389" spans="1:25" x14ac:dyDescent="0.25">
      <c r="A389" s="57">
        <v>7203</v>
      </c>
      <c r="B389" t="s">
        <v>71</v>
      </c>
      <c r="C389" t="s">
        <v>467</v>
      </c>
      <c r="D389" s="8">
        <v>178654</v>
      </c>
      <c r="E389" s="8">
        <v>14933</v>
      </c>
      <c r="F389" s="8">
        <v>17836</v>
      </c>
      <c r="G389" s="8">
        <v>14964</v>
      </c>
      <c r="H389" s="8">
        <v>11452</v>
      </c>
      <c r="I389" s="8">
        <v>10612</v>
      </c>
      <c r="J389" s="8">
        <v>19851</v>
      </c>
      <c r="K389" s="8">
        <v>21570</v>
      </c>
      <c r="L389" s="8">
        <v>17182</v>
      </c>
      <c r="M389" s="8">
        <v>12710</v>
      </c>
      <c r="N389" s="8">
        <v>9944</v>
      </c>
      <c r="O389" s="8">
        <v>7862</v>
      </c>
      <c r="P389" s="8">
        <v>6482</v>
      </c>
      <c r="Q389" s="8">
        <v>4958</v>
      </c>
      <c r="R389" s="8">
        <v>3704</v>
      </c>
      <c r="S389" s="8">
        <v>2427</v>
      </c>
      <c r="T389" s="8">
        <v>2167</v>
      </c>
      <c r="U389" s="7">
        <f t="shared" si="24"/>
        <v>26.718125538750883</v>
      </c>
      <c r="V389" s="7">
        <f t="shared" si="25"/>
        <v>68.637142185453442</v>
      </c>
      <c r="W389" s="7">
        <f t="shared" si="26"/>
        <v>4.6447322757956719</v>
      </c>
      <c r="X389" s="7">
        <f>SUM(I389:L389)/D389*100</f>
        <v>38.742485474716496</v>
      </c>
      <c r="Y389" s="7">
        <f t="shared" si="27"/>
        <v>45.69371162016914</v>
      </c>
    </row>
    <row r="390" spans="1:25" x14ac:dyDescent="0.25">
      <c r="A390" s="57">
        <v>7204</v>
      </c>
      <c r="B390" t="s">
        <v>71</v>
      </c>
      <c r="C390" t="s">
        <v>468</v>
      </c>
      <c r="D390" s="8">
        <v>258768</v>
      </c>
      <c r="E390" s="8">
        <v>20280</v>
      </c>
      <c r="F390" s="8">
        <v>20050</v>
      </c>
      <c r="G390" s="8">
        <v>20339</v>
      </c>
      <c r="H390" s="8">
        <v>20312</v>
      </c>
      <c r="I390" s="8">
        <v>21103</v>
      </c>
      <c r="J390" s="8">
        <v>20342</v>
      </c>
      <c r="K390" s="8">
        <v>19470</v>
      </c>
      <c r="L390" s="8">
        <v>18723</v>
      </c>
      <c r="M390" s="8">
        <v>18645</v>
      </c>
      <c r="N390" s="8">
        <v>18028</v>
      </c>
      <c r="O390" s="8">
        <v>15999</v>
      </c>
      <c r="P390" s="8">
        <v>13538</v>
      </c>
      <c r="Q390" s="8">
        <v>11128</v>
      </c>
      <c r="R390" s="8">
        <v>8620</v>
      </c>
      <c r="S390" s="8">
        <v>6033</v>
      </c>
      <c r="T390" s="8">
        <v>6158</v>
      </c>
      <c r="U390" s="7">
        <f t="shared" si="24"/>
        <v>23.445325542570952</v>
      </c>
      <c r="V390" s="7">
        <f t="shared" si="25"/>
        <v>68.512335373771108</v>
      </c>
      <c r="W390" s="7">
        <f t="shared" si="26"/>
        <v>8.0423390836579483</v>
      </c>
      <c r="X390" s="7">
        <f>SUM(I390:L390)/D390*100</f>
        <v>30.775830087182342</v>
      </c>
      <c r="Y390" s="7">
        <f t="shared" si="27"/>
        <v>45.959117368349808</v>
      </c>
    </row>
    <row r="391" spans="1:25" x14ac:dyDescent="0.25">
      <c r="A391" s="57">
        <v>7205</v>
      </c>
      <c r="B391" t="s">
        <v>71</v>
      </c>
      <c r="C391" t="s">
        <v>469</v>
      </c>
      <c r="D391" s="8">
        <v>316206</v>
      </c>
      <c r="E391" s="8">
        <v>25845</v>
      </c>
      <c r="F391" s="8">
        <v>24574</v>
      </c>
      <c r="G391" s="8">
        <v>28511</v>
      </c>
      <c r="H391" s="8">
        <v>29474</v>
      </c>
      <c r="I391" s="8">
        <v>27072</v>
      </c>
      <c r="J391" s="8">
        <v>25373</v>
      </c>
      <c r="K391" s="8">
        <v>23952</v>
      </c>
      <c r="L391" s="8">
        <v>22338</v>
      </c>
      <c r="M391" s="8">
        <v>20923</v>
      </c>
      <c r="N391" s="8">
        <v>20326</v>
      </c>
      <c r="O391" s="8">
        <v>18948</v>
      </c>
      <c r="P391" s="8">
        <v>15870</v>
      </c>
      <c r="Q391" s="8">
        <v>12696</v>
      </c>
      <c r="R391" s="8">
        <v>8935</v>
      </c>
      <c r="S391" s="8">
        <v>5979</v>
      </c>
      <c r="T391" s="8">
        <v>5390</v>
      </c>
      <c r="U391" s="7">
        <f t="shared" si="24"/>
        <v>24.961575681675868</v>
      </c>
      <c r="V391" s="7">
        <f t="shared" si="25"/>
        <v>68.617293789491669</v>
      </c>
      <c r="W391" s="7">
        <f t="shared" si="26"/>
        <v>6.4211305288324692</v>
      </c>
      <c r="X391" s="7">
        <f>SUM(I391:L391)/D391*100</f>
        <v>31.224897693275906</v>
      </c>
      <c r="Y391" s="7">
        <f t="shared" si="27"/>
        <v>45.735855317736849</v>
      </c>
    </row>
    <row r="392" spans="1:25" x14ac:dyDescent="0.25">
      <c r="A392" s="57">
        <v>7206</v>
      </c>
      <c r="B392" t="s">
        <v>71</v>
      </c>
      <c r="C392" t="s">
        <v>470</v>
      </c>
      <c r="D392" s="8">
        <v>238049</v>
      </c>
      <c r="E392" s="8">
        <v>19798</v>
      </c>
      <c r="F392" s="8">
        <v>23160</v>
      </c>
      <c r="G392" s="8">
        <v>20996</v>
      </c>
      <c r="H392" s="8">
        <v>19050</v>
      </c>
      <c r="I392" s="8">
        <v>18818</v>
      </c>
      <c r="J392" s="8">
        <v>17821</v>
      </c>
      <c r="K392" s="8">
        <v>18456</v>
      </c>
      <c r="L392" s="8">
        <v>17027</v>
      </c>
      <c r="M392" s="8">
        <v>16428</v>
      </c>
      <c r="N392" s="8">
        <v>15609</v>
      </c>
      <c r="O392" s="8">
        <v>14241</v>
      </c>
      <c r="P392" s="8">
        <v>11991</v>
      </c>
      <c r="Q392" s="8">
        <v>9420</v>
      </c>
      <c r="R392" s="8">
        <v>6671</v>
      </c>
      <c r="S392" s="8">
        <v>4498</v>
      </c>
      <c r="T392" s="8">
        <v>4065</v>
      </c>
      <c r="U392" s="7">
        <f t="shared" si="24"/>
        <v>26.865897357266782</v>
      </c>
      <c r="V392" s="7">
        <f t="shared" si="25"/>
        <v>66.734579855407915</v>
      </c>
      <c r="W392" s="7">
        <f t="shared" si="26"/>
        <v>6.3995227873252984</v>
      </c>
      <c r="X392" s="7">
        <f>SUM(I392:L392)/D392*100</f>
        <v>30.297123701422819</v>
      </c>
      <c r="Y392" s="7">
        <f t="shared" si="27"/>
        <v>49.847350828711896</v>
      </c>
    </row>
    <row r="393" spans="1:25" x14ac:dyDescent="0.25">
      <c r="A393" s="57">
        <v>7207</v>
      </c>
      <c r="B393" t="s">
        <v>71</v>
      </c>
      <c r="C393" t="s">
        <v>471</v>
      </c>
      <c r="D393" s="8">
        <v>155929</v>
      </c>
      <c r="E393" s="8">
        <v>14219</v>
      </c>
      <c r="F393" s="8">
        <v>15859</v>
      </c>
      <c r="G393" s="8">
        <v>14414</v>
      </c>
      <c r="H393" s="8">
        <v>13995</v>
      </c>
      <c r="I393" s="8">
        <v>13645</v>
      </c>
      <c r="J393" s="8">
        <v>13128</v>
      </c>
      <c r="K393" s="8">
        <v>11691</v>
      </c>
      <c r="L393" s="8">
        <v>10526</v>
      </c>
      <c r="M393" s="8">
        <v>10266</v>
      </c>
      <c r="N393" s="8">
        <v>9296</v>
      </c>
      <c r="O393" s="8">
        <v>8380</v>
      </c>
      <c r="P393" s="8">
        <v>6925</v>
      </c>
      <c r="Q393" s="8">
        <v>5383</v>
      </c>
      <c r="R393" s="8">
        <v>3725</v>
      </c>
      <c r="S393" s="8">
        <v>2525</v>
      </c>
      <c r="T393" s="8">
        <v>1952</v>
      </c>
      <c r="U393" s="7">
        <f t="shared" si="24"/>
        <v>28.533499220799207</v>
      </c>
      <c r="V393" s="7">
        <f t="shared" si="25"/>
        <v>66.206414457862223</v>
      </c>
      <c r="W393" s="7">
        <f t="shared" si="26"/>
        <v>5.2600863213385578</v>
      </c>
      <c r="X393" s="7">
        <f>SUM(I393:L393)/D393*100</f>
        <v>31.418145437987803</v>
      </c>
      <c r="Y393" s="7">
        <f t="shared" si="27"/>
        <v>51.04276650360827</v>
      </c>
    </row>
    <row r="394" spans="1:25" x14ac:dyDescent="0.25">
      <c r="A394" s="57">
        <v>7208</v>
      </c>
      <c r="B394" t="s">
        <v>71</v>
      </c>
      <c r="C394" t="s">
        <v>472</v>
      </c>
      <c r="D394" s="8">
        <v>469668</v>
      </c>
      <c r="E394" s="8">
        <v>41127</v>
      </c>
      <c r="F394" s="8">
        <v>33505</v>
      </c>
      <c r="G394" s="8">
        <v>36741</v>
      </c>
      <c r="H394" s="8">
        <v>39760</v>
      </c>
      <c r="I394" s="8">
        <v>41291</v>
      </c>
      <c r="J394" s="8">
        <v>39686</v>
      </c>
      <c r="K394" s="8">
        <v>37363</v>
      </c>
      <c r="L394" s="8">
        <v>34534</v>
      </c>
      <c r="M394" s="8">
        <v>33214</v>
      </c>
      <c r="N394" s="8">
        <v>32327</v>
      </c>
      <c r="O394" s="8">
        <v>28452</v>
      </c>
      <c r="P394" s="8">
        <v>23719</v>
      </c>
      <c r="Q394" s="8">
        <v>18215</v>
      </c>
      <c r="R394" s="8">
        <v>13180</v>
      </c>
      <c r="S394" s="8">
        <v>8687</v>
      </c>
      <c r="T394" s="8">
        <v>7867</v>
      </c>
      <c r="U394" s="7">
        <f t="shared" si="24"/>
        <v>23.713133532623043</v>
      </c>
      <c r="V394" s="7">
        <f t="shared" si="25"/>
        <v>69.956011480450016</v>
      </c>
      <c r="W394" s="7">
        <f t="shared" si="26"/>
        <v>6.3308549869269353</v>
      </c>
      <c r="X394" s="7">
        <f>SUM(I394:L394)/D394*100</f>
        <v>32.54937530340581</v>
      </c>
      <c r="Y394" s="7">
        <f t="shared" si="27"/>
        <v>42.946971795191764</v>
      </c>
    </row>
    <row r="395" spans="1:25" x14ac:dyDescent="0.25">
      <c r="A395" s="57">
        <v>7209</v>
      </c>
      <c r="B395" t="s">
        <v>71</v>
      </c>
      <c r="C395" t="s">
        <v>473</v>
      </c>
      <c r="D395" s="8">
        <v>174355</v>
      </c>
      <c r="E395" s="8">
        <v>14240</v>
      </c>
      <c r="F395" s="8">
        <v>16312</v>
      </c>
      <c r="G395" s="8">
        <v>16031</v>
      </c>
      <c r="H395" s="8">
        <v>15065</v>
      </c>
      <c r="I395" s="8">
        <v>14651</v>
      </c>
      <c r="J395" s="8">
        <v>14022</v>
      </c>
      <c r="K395" s="8">
        <v>12972</v>
      </c>
      <c r="L395" s="8">
        <v>12894</v>
      </c>
      <c r="M395" s="8">
        <v>11723</v>
      </c>
      <c r="N395" s="8">
        <v>11153</v>
      </c>
      <c r="O395" s="8">
        <v>9702</v>
      </c>
      <c r="P395" s="8">
        <v>8130</v>
      </c>
      <c r="Q395" s="8">
        <v>6672</v>
      </c>
      <c r="R395" s="8">
        <v>4803</v>
      </c>
      <c r="S395" s="8">
        <v>3155</v>
      </c>
      <c r="T395" s="8">
        <v>2830</v>
      </c>
      <c r="U395" s="7">
        <f t="shared" si="24"/>
        <v>26.717329586189098</v>
      </c>
      <c r="V395" s="7">
        <f t="shared" si="25"/>
        <v>67.095294083909266</v>
      </c>
      <c r="W395" s="7">
        <f t="shared" si="26"/>
        <v>6.1873763299016371</v>
      </c>
      <c r="X395" s="7">
        <f>SUM(I395:L395)/D395*100</f>
        <v>31.28043359811878</v>
      </c>
      <c r="Y395" s="7">
        <f t="shared" si="27"/>
        <v>49.041749299049442</v>
      </c>
    </row>
    <row r="396" spans="1:25" x14ac:dyDescent="0.25">
      <c r="A396" s="57">
        <v>7210</v>
      </c>
      <c r="B396" t="s">
        <v>71</v>
      </c>
      <c r="C396" t="s">
        <v>474</v>
      </c>
      <c r="D396" s="8">
        <v>276556</v>
      </c>
      <c r="E396" s="8">
        <v>22891</v>
      </c>
      <c r="F396" s="8">
        <v>23353</v>
      </c>
      <c r="G396" s="8">
        <v>23163</v>
      </c>
      <c r="H396" s="8">
        <v>23230</v>
      </c>
      <c r="I396" s="8">
        <v>22155</v>
      </c>
      <c r="J396" s="8">
        <v>21264</v>
      </c>
      <c r="K396" s="8">
        <v>21151</v>
      </c>
      <c r="L396" s="8">
        <v>20721</v>
      </c>
      <c r="M396" s="8">
        <v>19842</v>
      </c>
      <c r="N396" s="8">
        <v>18751</v>
      </c>
      <c r="O396" s="8">
        <v>16804</v>
      </c>
      <c r="P396" s="8">
        <v>13918</v>
      </c>
      <c r="Q396" s="8">
        <v>10905</v>
      </c>
      <c r="R396" s="8">
        <v>8008</v>
      </c>
      <c r="S396" s="8">
        <v>5371</v>
      </c>
      <c r="T396" s="8">
        <v>5029</v>
      </c>
      <c r="U396" s="7">
        <f t="shared" si="24"/>
        <v>25.096906232372469</v>
      </c>
      <c r="V396" s="7">
        <f t="shared" si="25"/>
        <v>68.246937329148523</v>
      </c>
      <c r="W396" s="7">
        <f t="shared" si="26"/>
        <v>6.6561564384790062</v>
      </c>
      <c r="X396" s="7">
        <f>SUM(I396:L396)/D396*100</f>
        <v>30.840408452537645</v>
      </c>
      <c r="Y396" s="7">
        <f t="shared" si="27"/>
        <v>46.526721803953563</v>
      </c>
    </row>
    <row r="397" spans="1:25" x14ac:dyDescent="0.25">
      <c r="A397" s="57">
        <v>7211</v>
      </c>
      <c r="B397" t="s">
        <v>71</v>
      </c>
      <c r="C397" t="s">
        <v>475</v>
      </c>
      <c r="D397" s="8">
        <v>75832</v>
      </c>
      <c r="E397" s="8">
        <v>6675</v>
      </c>
      <c r="F397" s="8">
        <v>7194</v>
      </c>
      <c r="G397" s="8">
        <v>7560</v>
      </c>
      <c r="H397" s="8">
        <v>6891</v>
      </c>
      <c r="I397" s="8">
        <v>6420</v>
      </c>
      <c r="J397" s="8">
        <v>5768</v>
      </c>
      <c r="K397" s="8">
        <v>5695</v>
      </c>
      <c r="L397" s="8">
        <v>5930</v>
      </c>
      <c r="M397" s="8">
        <v>5290</v>
      </c>
      <c r="N397" s="8">
        <v>4678</v>
      </c>
      <c r="O397" s="8">
        <v>3977</v>
      </c>
      <c r="P397" s="8">
        <v>3179</v>
      </c>
      <c r="Q397" s="8">
        <v>2489</v>
      </c>
      <c r="R397" s="8">
        <v>1955</v>
      </c>
      <c r="S397" s="8">
        <v>1222</v>
      </c>
      <c r="T397" s="8">
        <v>909</v>
      </c>
      <c r="U397" s="7">
        <f t="shared" si="24"/>
        <v>28.258518831100325</v>
      </c>
      <c r="V397" s="7">
        <f t="shared" si="25"/>
        <v>66.353254562717595</v>
      </c>
      <c r="W397" s="7">
        <f t="shared" si="26"/>
        <v>5.3882266061820863</v>
      </c>
      <c r="X397" s="7">
        <f>SUM(I397:L397)/D397*100</f>
        <v>31.402310370292223</v>
      </c>
      <c r="Y397" s="7">
        <f t="shared" si="27"/>
        <v>50.708508058906531</v>
      </c>
    </row>
    <row r="398" spans="1:25" x14ac:dyDescent="0.25">
      <c r="A398" s="57">
        <v>7212</v>
      </c>
      <c r="B398" t="s">
        <v>71</v>
      </c>
      <c r="C398" t="s">
        <v>476</v>
      </c>
      <c r="D398" s="8">
        <v>131353</v>
      </c>
      <c r="E398" s="8">
        <v>10615</v>
      </c>
      <c r="F398" s="8">
        <v>11534</v>
      </c>
      <c r="G398" s="8">
        <v>11706</v>
      </c>
      <c r="H398" s="8">
        <v>11236</v>
      </c>
      <c r="I398" s="8">
        <v>10434</v>
      </c>
      <c r="J398" s="8">
        <v>10247</v>
      </c>
      <c r="K398" s="8">
        <v>10361</v>
      </c>
      <c r="L398" s="8">
        <v>10389</v>
      </c>
      <c r="M398" s="8">
        <v>9344</v>
      </c>
      <c r="N398" s="8">
        <v>8581</v>
      </c>
      <c r="O398" s="8">
        <v>7402</v>
      </c>
      <c r="P398" s="8">
        <v>6149</v>
      </c>
      <c r="Q398" s="8">
        <v>4989</v>
      </c>
      <c r="R398" s="8">
        <v>3626</v>
      </c>
      <c r="S398" s="8">
        <v>2437</v>
      </c>
      <c r="T398" s="8">
        <v>2303</v>
      </c>
      <c r="U398" s="7">
        <f t="shared" si="24"/>
        <v>25.77405921448311</v>
      </c>
      <c r="V398" s="7">
        <f t="shared" si="25"/>
        <v>67.856843772125501</v>
      </c>
      <c r="W398" s="7">
        <f t="shared" si="26"/>
        <v>6.3690970133913964</v>
      </c>
      <c r="X398" s="7">
        <f>SUM(I398:L398)/D398*100</f>
        <v>31.541723447504054</v>
      </c>
      <c r="Y398" s="7">
        <f t="shared" si="27"/>
        <v>47.36907059193107</v>
      </c>
    </row>
    <row r="399" spans="1:25" x14ac:dyDescent="0.25">
      <c r="A399" s="57">
        <v>7271</v>
      </c>
      <c r="B399" t="s">
        <v>71</v>
      </c>
      <c r="C399" t="s">
        <v>477</v>
      </c>
      <c r="D399" s="8">
        <v>402417</v>
      </c>
      <c r="E399" s="8">
        <v>33630</v>
      </c>
      <c r="F399" s="8">
        <v>37321</v>
      </c>
      <c r="G399" s="8">
        <v>34109</v>
      </c>
      <c r="H399" s="8">
        <v>30180</v>
      </c>
      <c r="I399" s="8">
        <v>29043</v>
      </c>
      <c r="J399" s="8">
        <v>33641</v>
      </c>
      <c r="K399" s="8">
        <v>35362</v>
      </c>
      <c r="L399" s="8">
        <v>33171</v>
      </c>
      <c r="M399" s="8">
        <v>28485</v>
      </c>
      <c r="N399" s="8">
        <v>25568</v>
      </c>
      <c r="O399" s="8">
        <v>22676</v>
      </c>
      <c r="P399" s="8">
        <v>19861</v>
      </c>
      <c r="Q399" s="8">
        <v>15903</v>
      </c>
      <c r="R399" s="8">
        <v>11142</v>
      </c>
      <c r="S399" s="8">
        <v>6900</v>
      </c>
      <c r="T399" s="8">
        <v>5425</v>
      </c>
      <c r="U399" s="7">
        <f t="shared" si="24"/>
        <v>26.107246960242737</v>
      </c>
      <c r="V399" s="7">
        <f t="shared" si="25"/>
        <v>68.061239957556467</v>
      </c>
      <c r="W399" s="7">
        <f t="shared" si="26"/>
        <v>5.8315130822008019</v>
      </c>
      <c r="X399" s="7">
        <f>SUM(I399:L399)/D399*100</f>
        <v>32.607220867905681</v>
      </c>
      <c r="Y399" s="7">
        <f t="shared" si="27"/>
        <v>46.926503340757236</v>
      </c>
    </row>
    <row r="400" spans="1:25" x14ac:dyDescent="0.25">
      <c r="A400" s="57">
        <v>7301</v>
      </c>
      <c r="B400" t="s">
        <v>72</v>
      </c>
      <c r="C400" t="s">
        <v>478</v>
      </c>
      <c r="D400" s="8">
        <v>145776</v>
      </c>
      <c r="E400" s="8">
        <v>11889</v>
      </c>
      <c r="F400" s="8">
        <v>10066</v>
      </c>
      <c r="G400" s="8">
        <v>9730</v>
      </c>
      <c r="H400" s="8">
        <v>12107</v>
      </c>
      <c r="I400" s="8">
        <v>13778</v>
      </c>
      <c r="J400" s="8">
        <v>12213</v>
      </c>
      <c r="K400" s="8">
        <v>10635</v>
      </c>
      <c r="L400" s="8">
        <v>10580</v>
      </c>
      <c r="M400" s="8">
        <v>10392</v>
      </c>
      <c r="N400" s="8">
        <v>9286</v>
      </c>
      <c r="O400" s="8">
        <v>8387</v>
      </c>
      <c r="P400" s="8">
        <v>7236</v>
      </c>
      <c r="Q400" s="8">
        <v>6276</v>
      </c>
      <c r="R400" s="8">
        <v>5168</v>
      </c>
      <c r="S400" s="8">
        <v>3692</v>
      </c>
      <c r="T400" s="8">
        <v>4341</v>
      </c>
      <c r="U400" s="7">
        <f t="shared" si="24"/>
        <v>21.735402261003184</v>
      </c>
      <c r="V400" s="7">
        <f t="shared" si="25"/>
        <v>69.208923279552195</v>
      </c>
      <c r="W400" s="7">
        <f t="shared" si="26"/>
        <v>9.0556744594446279</v>
      </c>
      <c r="X400" s="7">
        <f>SUM(I400:L400)/D400*100</f>
        <v>32.382559543409066</v>
      </c>
      <c r="Y400" s="7">
        <f t="shared" si="27"/>
        <v>44.490038655961939</v>
      </c>
    </row>
    <row r="401" spans="1:25" x14ac:dyDescent="0.25">
      <c r="A401" s="57">
        <v>7302</v>
      </c>
      <c r="B401" t="s">
        <v>72</v>
      </c>
      <c r="C401" t="s">
        <v>479</v>
      </c>
      <c r="D401" s="8">
        <v>463164</v>
      </c>
      <c r="E401" s="8">
        <v>37663</v>
      </c>
      <c r="F401" s="8">
        <v>32424</v>
      </c>
      <c r="G401" s="8">
        <v>31335</v>
      </c>
      <c r="H401" s="8">
        <v>36313</v>
      </c>
      <c r="I401" s="8">
        <v>35719</v>
      </c>
      <c r="J401" s="8">
        <v>36061</v>
      </c>
      <c r="K401" s="8">
        <v>35514</v>
      </c>
      <c r="L401" s="8">
        <v>33888</v>
      </c>
      <c r="M401" s="8">
        <v>33348</v>
      </c>
      <c r="N401" s="8">
        <v>33213</v>
      </c>
      <c r="O401" s="8">
        <v>30996</v>
      </c>
      <c r="P401" s="8">
        <v>26965</v>
      </c>
      <c r="Q401" s="8">
        <v>20867</v>
      </c>
      <c r="R401" s="8">
        <v>16118</v>
      </c>
      <c r="S401" s="8">
        <v>11167</v>
      </c>
      <c r="T401" s="8">
        <v>11573</v>
      </c>
      <c r="U401" s="7">
        <f t="shared" si="24"/>
        <v>21.897643167430974</v>
      </c>
      <c r="V401" s="7">
        <f t="shared" si="25"/>
        <v>69.712671969324035</v>
      </c>
      <c r="W401" s="7">
        <f t="shared" si="26"/>
        <v>8.3896848632449839</v>
      </c>
      <c r="X401" s="7">
        <f>SUM(I401:L401)/D401*100</f>
        <v>30.482075463550707</v>
      </c>
      <c r="Y401" s="7">
        <f t="shared" si="27"/>
        <v>43.445943434793918</v>
      </c>
    </row>
    <row r="402" spans="1:25" x14ac:dyDescent="0.25">
      <c r="A402" s="57">
        <v>7303</v>
      </c>
      <c r="B402" t="s">
        <v>72</v>
      </c>
      <c r="C402" t="s">
        <v>480</v>
      </c>
      <c r="D402" s="8">
        <v>209844</v>
      </c>
      <c r="E402" s="8">
        <v>16864</v>
      </c>
      <c r="F402" s="8">
        <v>16136</v>
      </c>
      <c r="G402" s="8">
        <v>14125</v>
      </c>
      <c r="H402" s="8">
        <v>15557</v>
      </c>
      <c r="I402" s="8">
        <v>17482</v>
      </c>
      <c r="J402" s="8">
        <v>17285</v>
      </c>
      <c r="K402" s="8">
        <v>16251</v>
      </c>
      <c r="L402" s="8">
        <v>16813</v>
      </c>
      <c r="M402" s="8">
        <v>16615</v>
      </c>
      <c r="N402" s="8">
        <v>15072</v>
      </c>
      <c r="O402" s="8">
        <v>12968</v>
      </c>
      <c r="P402" s="8">
        <v>10947</v>
      </c>
      <c r="Q402" s="8">
        <v>8783</v>
      </c>
      <c r="R402" s="8">
        <v>6360</v>
      </c>
      <c r="S402" s="8">
        <v>4282</v>
      </c>
      <c r="T402" s="8">
        <v>4304</v>
      </c>
      <c r="U402" s="7">
        <f t="shared" si="24"/>
        <v>22.457158651188504</v>
      </c>
      <c r="V402" s="7">
        <f t="shared" si="25"/>
        <v>70.420407540839861</v>
      </c>
      <c r="W402" s="7">
        <f t="shared" si="26"/>
        <v>7.1224338079716354</v>
      </c>
      <c r="X402" s="7">
        <f>SUM(I402:L402)/D402*100</f>
        <v>32.32448866777225</v>
      </c>
      <c r="Y402" s="7">
        <f t="shared" si="27"/>
        <v>42.004290364274937</v>
      </c>
    </row>
    <row r="403" spans="1:25" x14ac:dyDescent="0.25">
      <c r="A403" s="57">
        <v>7304</v>
      </c>
      <c r="B403" t="s">
        <v>72</v>
      </c>
      <c r="C403" t="s">
        <v>481</v>
      </c>
      <c r="D403" s="8">
        <v>427667</v>
      </c>
      <c r="E403" s="8">
        <v>36107</v>
      </c>
      <c r="F403" s="8">
        <v>31912</v>
      </c>
      <c r="G403" s="8">
        <v>31304</v>
      </c>
      <c r="H403" s="8">
        <v>34707</v>
      </c>
      <c r="I403" s="8">
        <v>34134</v>
      </c>
      <c r="J403" s="8">
        <v>34656</v>
      </c>
      <c r="K403" s="8">
        <v>35268</v>
      </c>
      <c r="L403" s="8">
        <v>34581</v>
      </c>
      <c r="M403" s="8">
        <v>32275</v>
      </c>
      <c r="N403" s="8">
        <v>29885</v>
      </c>
      <c r="O403" s="8">
        <v>24961</v>
      </c>
      <c r="P403" s="8">
        <v>20640</v>
      </c>
      <c r="Q403" s="8">
        <v>16452</v>
      </c>
      <c r="R403" s="8">
        <v>12987</v>
      </c>
      <c r="S403" s="8">
        <v>8183</v>
      </c>
      <c r="T403" s="8">
        <v>9615</v>
      </c>
      <c r="U403" s="7">
        <f t="shared" si="24"/>
        <v>23.224377845379699</v>
      </c>
      <c r="V403" s="7">
        <f t="shared" si="25"/>
        <v>69.577264553963715</v>
      </c>
      <c r="W403" s="7">
        <f t="shared" si="26"/>
        <v>7.1983576006565855</v>
      </c>
      <c r="X403" s="7">
        <f>SUM(I403:L403)/D403*100</f>
        <v>32.417511755641655</v>
      </c>
      <c r="Y403" s="7">
        <f t="shared" si="27"/>
        <v>43.725109978189195</v>
      </c>
    </row>
    <row r="404" spans="1:25" x14ac:dyDescent="0.25">
      <c r="A404" s="57">
        <v>7305</v>
      </c>
      <c r="B404" t="s">
        <v>72</v>
      </c>
      <c r="C404" t="s">
        <v>482</v>
      </c>
      <c r="D404" s="8">
        <v>325192</v>
      </c>
      <c r="E404" s="8">
        <v>27570</v>
      </c>
      <c r="F404" s="8">
        <v>27969</v>
      </c>
      <c r="G404" s="8">
        <v>24710</v>
      </c>
      <c r="H404" s="8">
        <v>25351</v>
      </c>
      <c r="I404" s="8">
        <v>24763</v>
      </c>
      <c r="J404" s="8">
        <v>24597</v>
      </c>
      <c r="K404" s="8">
        <v>26290</v>
      </c>
      <c r="L404" s="8">
        <v>24762</v>
      </c>
      <c r="M404" s="8">
        <v>22308</v>
      </c>
      <c r="N404" s="8">
        <v>21381</v>
      </c>
      <c r="O404" s="8">
        <v>19576</v>
      </c>
      <c r="P404" s="8">
        <v>17149</v>
      </c>
      <c r="Q404" s="8">
        <v>14277</v>
      </c>
      <c r="R404" s="8">
        <v>10633</v>
      </c>
      <c r="S404" s="8">
        <v>6722</v>
      </c>
      <c r="T404" s="8">
        <v>7134</v>
      </c>
      <c r="U404" s="7">
        <f t="shared" si="24"/>
        <v>24.67742133877832</v>
      </c>
      <c r="V404" s="7">
        <f t="shared" si="25"/>
        <v>67.791950601490811</v>
      </c>
      <c r="W404" s="7">
        <f t="shared" si="26"/>
        <v>7.5306280597308666</v>
      </c>
      <c r="X404" s="7">
        <f>SUM(I404:L404)/D404*100</f>
        <v>30.877758370439619</v>
      </c>
      <c r="Y404" s="7">
        <f t="shared" si="27"/>
        <v>47.510138169414027</v>
      </c>
    </row>
    <row r="405" spans="1:25" x14ac:dyDescent="0.25">
      <c r="A405" s="57">
        <v>7306</v>
      </c>
      <c r="B405" t="s">
        <v>72</v>
      </c>
      <c r="C405" t="s">
        <v>483</v>
      </c>
      <c r="D405" s="8">
        <v>839803</v>
      </c>
      <c r="E405" s="8">
        <v>71220</v>
      </c>
      <c r="F405" s="8">
        <v>64597</v>
      </c>
      <c r="G405" s="8">
        <v>61833</v>
      </c>
      <c r="H405" s="8">
        <v>68555</v>
      </c>
      <c r="I405" s="8">
        <v>69368</v>
      </c>
      <c r="J405" s="8">
        <v>71142</v>
      </c>
      <c r="K405" s="8">
        <v>70301</v>
      </c>
      <c r="L405" s="8">
        <v>62937</v>
      </c>
      <c r="M405" s="8">
        <v>57638</v>
      </c>
      <c r="N405" s="8">
        <v>54672</v>
      </c>
      <c r="O405" s="8">
        <v>50038</v>
      </c>
      <c r="P405" s="8">
        <v>42603</v>
      </c>
      <c r="Q405" s="8">
        <v>34971</v>
      </c>
      <c r="R405" s="8">
        <v>25449</v>
      </c>
      <c r="S405" s="8">
        <v>17212</v>
      </c>
      <c r="T405" s="8">
        <v>17267</v>
      </c>
      <c r="U405" s="7">
        <f t="shared" si="24"/>
        <v>23.535281488634833</v>
      </c>
      <c r="V405" s="7">
        <f t="shared" si="25"/>
        <v>69.328759244727635</v>
      </c>
      <c r="W405" s="7">
        <f t="shared" si="26"/>
        <v>7.1359592666375331</v>
      </c>
      <c r="X405" s="7">
        <f>SUM(I405:L405)/D405*100</f>
        <v>32.596692319508264</v>
      </c>
      <c r="Y405" s="7">
        <f t="shared" si="27"/>
        <v>44.240285113143543</v>
      </c>
    </row>
    <row r="406" spans="1:25" x14ac:dyDescent="0.25">
      <c r="A406" s="57">
        <v>7307</v>
      </c>
      <c r="B406" t="s">
        <v>72</v>
      </c>
      <c r="C406" t="s">
        <v>484</v>
      </c>
      <c r="D406" s="8">
        <v>276173</v>
      </c>
      <c r="E406" s="8">
        <v>22754</v>
      </c>
      <c r="F406" s="8">
        <v>22069</v>
      </c>
      <c r="G406" s="8">
        <v>19037</v>
      </c>
      <c r="H406" s="8">
        <v>22025</v>
      </c>
      <c r="I406" s="8">
        <v>24241</v>
      </c>
      <c r="J406" s="8">
        <v>22860</v>
      </c>
      <c r="K406" s="8">
        <v>21380</v>
      </c>
      <c r="L406" s="8">
        <v>19698</v>
      </c>
      <c r="M406" s="8">
        <v>18932</v>
      </c>
      <c r="N406" s="8">
        <v>18643</v>
      </c>
      <c r="O406" s="8">
        <v>17094</v>
      </c>
      <c r="P406" s="8">
        <v>14232</v>
      </c>
      <c r="Q406" s="8">
        <v>11396</v>
      </c>
      <c r="R406" s="8">
        <v>8888</v>
      </c>
      <c r="S406" s="8">
        <v>6181</v>
      </c>
      <c r="T406" s="8">
        <v>6743</v>
      </c>
      <c r="U406" s="7">
        <f t="shared" si="24"/>
        <v>23.123187277539802</v>
      </c>
      <c r="V406" s="7">
        <f t="shared" si="25"/>
        <v>68.978864697128245</v>
      </c>
      <c r="W406" s="7">
        <f t="shared" si="26"/>
        <v>7.8979480253319485</v>
      </c>
      <c r="X406" s="7">
        <f>SUM(I406:L406)/D406*100</f>
        <v>31.928899638994395</v>
      </c>
      <c r="Y406" s="7">
        <f t="shared" si="27"/>
        <v>44.97194240450181</v>
      </c>
    </row>
    <row r="407" spans="1:25" x14ac:dyDescent="0.25">
      <c r="A407" s="57">
        <v>7308</v>
      </c>
      <c r="B407" t="s">
        <v>72</v>
      </c>
      <c r="C407" t="s">
        <v>485</v>
      </c>
      <c r="D407" s="8">
        <v>424592</v>
      </c>
      <c r="E407" s="8">
        <v>36298</v>
      </c>
      <c r="F407" s="8">
        <v>35753</v>
      </c>
      <c r="G407" s="8">
        <v>33198</v>
      </c>
      <c r="H407" s="8">
        <v>34520</v>
      </c>
      <c r="I407" s="8">
        <v>33261</v>
      </c>
      <c r="J407" s="8">
        <v>33319</v>
      </c>
      <c r="K407" s="8">
        <v>36234</v>
      </c>
      <c r="L407" s="8">
        <v>35037</v>
      </c>
      <c r="M407" s="8">
        <v>29784</v>
      </c>
      <c r="N407" s="8">
        <v>26423</v>
      </c>
      <c r="O407" s="8">
        <v>23986</v>
      </c>
      <c r="P407" s="8">
        <v>21074</v>
      </c>
      <c r="Q407" s="8">
        <v>17012</v>
      </c>
      <c r="R407" s="8">
        <v>12189</v>
      </c>
      <c r="S407" s="8">
        <v>8162</v>
      </c>
      <c r="T407" s="8">
        <v>8342</v>
      </c>
      <c r="U407" s="7">
        <f t="shared" si="24"/>
        <v>24.788267324867167</v>
      </c>
      <c r="V407" s="7">
        <f t="shared" si="25"/>
        <v>68.453951087161329</v>
      </c>
      <c r="W407" s="7">
        <f t="shared" si="26"/>
        <v>6.757781587971512</v>
      </c>
      <c r="X407" s="7">
        <f>SUM(I407:L407)/D407*100</f>
        <v>32.466697441308362</v>
      </c>
      <c r="Y407" s="7">
        <f t="shared" si="27"/>
        <v>46.083605711336659</v>
      </c>
    </row>
    <row r="408" spans="1:25" x14ac:dyDescent="0.25">
      <c r="A408" s="57">
        <v>7309</v>
      </c>
      <c r="B408" t="s">
        <v>72</v>
      </c>
      <c r="C408" t="s">
        <v>486</v>
      </c>
      <c r="D408" s="8">
        <v>366192</v>
      </c>
      <c r="E408" s="8">
        <v>29912</v>
      </c>
      <c r="F408" s="8">
        <v>29648</v>
      </c>
      <c r="G408" s="8">
        <v>27547</v>
      </c>
      <c r="H408" s="8">
        <v>30864</v>
      </c>
      <c r="I408" s="8">
        <v>32263</v>
      </c>
      <c r="J408" s="8">
        <v>31962</v>
      </c>
      <c r="K408" s="8">
        <v>28593</v>
      </c>
      <c r="L408" s="8">
        <v>26322</v>
      </c>
      <c r="M408" s="8">
        <v>23278</v>
      </c>
      <c r="N408" s="8">
        <v>22770</v>
      </c>
      <c r="O408" s="8">
        <v>20749</v>
      </c>
      <c r="P408" s="8">
        <v>19177</v>
      </c>
      <c r="Q408" s="8">
        <v>15426</v>
      </c>
      <c r="R408" s="8">
        <v>11092</v>
      </c>
      <c r="S408" s="8">
        <v>7854</v>
      </c>
      <c r="T408" s="8">
        <v>8735</v>
      </c>
      <c r="U408" s="7">
        <f t="shared" si="24"/>
        <v>23.787248219513259</v>
      </c>
      <c r="V408" s="7">
        <f t="shared" si="25"/>
        <v>68.653602481758199</v>
      </c>
      <c r="W408" s="7">
        <f t="shared" si="26"/>
        <v>7.5591492987285358</v>
      </c>
      <c r="X408" s="7">
        <f>SUM(I408:L408)/D408*100</f>
        <v>32.534845108576924</v>
      </c>
      <c r="Y408" s="7">
        <f t="shared" si="27"/>
        <v>45.658780289891965</v>
      </c>
    </row>
    <row r="409" spans="1:25" x14ac:dyDescent="0.25">
      <c r="A409" s="57">
        <v>7310</v>
      </c>
      <c r="B409" t="s">
        <v>72</v>
      </c>
      <c r="C409" t="s">
        <v>487</v>
      </c>
      <c r="D409" s="8">
        <v>191690</v>
      </c>
      <c r="E409" s="8">
        <v>14849</v>
      </c>
      <c r="F409" s="8">
        <v>15030</v>
      </c>
      <c r="G409" s="8">
        <v>13438</v>
      </c>
      <c r="H409" s="8">
        <v>15241</v>
      </c>
      <c r="I409" s="8">
        <v>14746</v>
      </c>
      <c r="J409" s="8">
        <v>14994</v>
      </c>
      <c r="K409" s="8">
        <v>14638</v>
      </c>
      <c r="L409" s="8">
        <v>12938</v>
      </c>
      <c r="M409" s="8">
        <v>12446</v>
      </c>
      <c r="N409" s="8">
        <v>12240</v>
      </c>
      <c r="O409" s="8">
        <v>11994</v>
      </c>
      <c r="P409" s="8">
        <v>10624</v>
      </c>
      <c r="Q409" s="8">
        <v>9720</v>
      </c>
      <c r="R409" s="8">
        <v>7318</v>
      </c>
      <c r="S409" s="8">
        <v>5311</v>
      </c>
      <c r="T409" s="8">
        <v>6163</v>
      </c>
      <c r="U409" s="7">
        <f t="shared" si="24"/>
        <v>22.597422922426837</v>
      </c>
      <c r="V409" s="7">
        <f t="shared" si="25"/>
        <v>67.599248787104187</v>
      </c>
      <c r="W409" s="7">
        <f t="shared" si="26"/>
        <v>9.8033282904689862</v>
      </c>
      <c r="X409" s="7">
        <f>SUM(I409:L409)/D409*100</f>
        <v>29.900359956179244</v>
      </c>
      <c r="Y409" s="7">
        <f t="shared" si="27"/>
        <v>47.93063797933339</v>
      </c>
    </row>
    <row r="410" spans="1:25" x14ac:dyDescent="0.25">
      <c r="A410" s="57">
        <v>7311</v>
      </c>
      <c r="B410" t="s">
        <v>72</v>
      </c>
      <c r="C410" t="s">
        <v>488</v>
      </c>
      <c r="D410" s="8">
        <v>844021</v>
      </c>
      <c r="E410" s="8">
        <v>66654</v>
      </c>
      <c r="F410" s="8">
        <v>59395</v>
      </c>
      <c r="G410" s="8">
        <v>57870</v>
      </c>
      <c r="H410" s="8">
        <v>66387</v>
      </c>
      <c r="I410" s="8">
        <v>72076</v>
      </c>
      <c r="J410" s="8">
        <v>70614</v>
      </c>
      <c r="K410" s="8">
        <v>66922</v>
      </c>
      <c r="L410" s="8">
        <v>58282</v>
      </c>
      <c r="M410" s="8">
        <v>54747</v>
      </c>
      <c r="N410" s="8">
        <v>54264</v>
      </c>
      <c r="O410" s="8">
        <v>52186</v>
      </c>
      <c r="P410" s="8">
        <v>45550</v>
      </c>
      <c r="Q410" s="8">
        <v>37558</v>
      </c>
      <c r="R410" s="8">
        <v>30837</v>
      </c>
      <c r="S410" s="8">
        <v>23039</v>
      </c>
      <c r="T410" s="8">
        <v>27640</v>
      </c>
      <c r="U410" s="7">
        <f t="shared" si="24"/>
        <v>21.790808522536761</v>
      </c>
      <c r="V410" s="7">
        <f t="shared" si="25"/>
        <v>68.551137945619828</v>
      </c>
      <c r="W410" s="7">
        <f t="shared" si="26"/>
        <v>9.658053531843402</v>
      </c>
      <c r="X410" s="7">
        <f>SUM(I410:L410)/D410*100</f>
        <v>31.740205516213461</v>
      </c>
      <c r="Y410" s="7">
        <f t="shared" si="27"/>
        <v>45.876498912866886</v>
      </c>
    </row>
    <row r="411" spans="1:25" x14ac:dyDescent="0.25">
      <c r="A411" s="57">
        <v>7312</v>
      </c>
      <c r="B411" t="s">
        <v>72</v>
      </c>
      <c r="C411" t="s">
        <v>489</v>
      </c>
      <c r="D411" s="8">
        <v>241460</v>
      </c>
      <c r="E411" s="8">
        <v>17728</v>
      </c>
      <c r="F411" s="8">
        <v>16101</v>
      </c>
      <c r="G411" s="8">
        <v>14364</v>
      </c>
      <c r="H411" s="8">
        <v>16513</v>
      </c>
      <c r="I411" s="8">
        <v>18222</v>
      </c>
      <c r="J411" s="8">
        <v>18766</v>
      </c>
      <c r="K411" s="8">
        <v>18415</v>
      </c>
      <c r="L411" s="8">
        <v>15385</v>
      </c>
      <c r="M411" s="8">
        <v>15081</v>
      </c>
      <c r="N411" s="8">
        <v>15834</v>
      </c>
      <c r="O411" s="8">
        <v>16314</v>
      </c>
      <c r="P411" s="8">
        <v>15465</v>
      </c>
      <c r="Q411" s="8">
        <v>13276</v>
      </c>
      <c r="R411" s="8">
        <v>11039</v>
      </c>
      <c r="S411" s="8">
        <v>8515</v>
      </c>
      <c r="T411" s="8">
        <v>10442</v>
      </c>
      <c r="U411" s="7">
        <f t="shared" si="24"/>
        <v>19.95899942019382</v>
      </c>
      <c r="V411" s="7">
        <f t="shared" si="25"/>
        <v>67.618239045804685</v>
      </c>
      <c r="W411" s="7">
        <f t="shared" si="26"/>
        <v>12.42276153400149</v>
      </c>
      <c r="X411" s="7">
        <f>SUM(I411:L411)/D411*100</f>
        <v>29.31665700323035</v>
      </c>
      <c r="Y411" s="7">
        <f t="shared" si="27"/>
        <v>47.889092367903672</v>
      </c>
    </row>
    <row r="412" spans="1:25" x14ac:dyDescent="0.25">
      <c r="A412" s="57">
        <v>7313</v>
      </c>
      <c r="B412" t="s">
        <v>72</v>
      </c>
      <c r="C412" t="s">
        <v>490</v>
      </c>
      <c r="D412" s="8">
        <v>393747</v>
      </c>
      <c r="E412" s="8">
        <v>28699</v>
      </c>
      <c r="F412" s="8">
        <v>27329</v>
      </c>
      <c r="G412" s="8">
        <v>27545</v>
      </c>
      <c r="H412" s="8">
        <v>30052</v>
      </c>
      <c r="I412" s="8">
        <v>27868</v>
      </c>
      <c r="J412" s="8">
        <v>26195</v>
      </c>
      <c r="K412" s="8">
        <v>29450</v>
      </c>
      <c r="L412" s="8">
        <v>30921</v>
      </c>
      <c r="M412" s="8">
        <v>29844</v>
      </c>
      <c r="N412" s="8">
        <v>27354</v>
      </c>
      <c r="O412" s="8">
        <v>25011</v>
      </c>
      <c r="P412" s="8">
        <v>22871</v>
      </c>
      <c r="Q412" s="8">
        <v>21449</v>
      </c>
      <c r="R412" s="8">
        <v>16027</v>
      </c>
      <c r="S412" s="8">
        <v>11157</v>
      </c>
      <c r="T412" s="8">
        <v>11975</v>
      </c>
      <c r="U412" s="7">
        <f t="shared" si="24"/>
        <v>21.225050603560156</v>
      </c>
      <c r="V412" s="7">
        <f t="shared" si="25"/>
        <v>68.829730766202672</v>
      </c>
      <c r="W412" s="7">
        <f t="shared" si="26"/>
        <v>9.9452186302371839</v>
      </c>
      <c r="X412" s="7">
        <f>SUM(I412:L412)/D412*100</f>
        <v>29.062824605647791</v>
      </c>
      <c r="Y412" s="7">
        <f t="shared" si="27"/>
        <v>45.286054277438517</v>
      </c>
    </row>
    <row r="413" spans="1:25" x14ac:dyDescent="0.25">
      <c r="A413" s="57">
        <v>7314</v>
      </c>
      <c r="B413" t="s">
        <v>72</v>
      </c>
      <c r="C413" t="s">
        <v>491</v>
      </c>
      <c r="D413" s="8">
        <v>336245</v>
      </c>
      <c r="E413" s="8">
        <v>25993</v>
      </c>
      <c r="F413" s="8">
        <v>26485</v>
      </c>
      <c r="G413" s="8">
        <v>24232</v>
      </c>
      <c r="H413" s="8">
        <v>26379</v>
      </c>
      <c r="I413" s="8">
        <v>26879</v>
      </c>
      <c r="J413" s="8">
        <v>26722</v>
      </c>
      <c r="K413" s="8">
        <v>25619</v>
      </c>
      <c r="L413" s="8">
        <v>24162</v>
      </c>
      <c r="M413" s="8">
        <v>23808</v>
      </c>
      <c r="N413" s="8">
        <v>22686</v>
      </c>
      <c r="O413" s="8">
        <v>20158</v>
      </c>
      <c r="P413" s="8">
        <v>17904</v>
      </c>
      <c r="Q413" s="8">
        <v>15366</v>
      </c>
      <c r="R413" s="8">
        <v>11501</v>
      </c>
      <c r="S413" s="8">
        <v>8250</v>
      </c>
      <c r="T413" s="8">
        <v>10101</v>
      </c>
      <c r="U413" s="7">
        <f t="shared" si="24"/>
        <v>22.813722137132149</v>
      </c>
      <c r="V413" s="7">
        <f t="shared" si="25"/>
        <v>68.308227631637635</v>
      </c>
      <c r="W413" s="7">
        <f t="shared" si="26"/>
        <v>8.8780502312302048</v>
      </c>
      <c r="X413" s="7">
        <f>SUM(I413:L413)/D413*100</f>
        <v>30.746033398266142</v>
      </c>
      <c r="Y413" s="7">
        <f t="shared" si="27"/>
        <v>46.39524910420014</v>
      </c>
    </row>
    <row r="414" spans="1:25" x14ac:dyDescent="0.25">
      <c r="A414" s="57">
        <v>7315</v>
      </c>
      <c r="B414" t="s">
        <v>72</v>
      </c>
      <c r="C414" t="s">
        <v>492</v>
      </c>
      <c r="D414" s="8">
        <v>435066</v>
      </c>
      <c r="E414" s="8">
        <v>36684</v>
      </c>
      <c r="F414" s="8">
        <v>34399</v>
      </c>
      <c r="G414" s="8">
        <v>32117</v>
      </c>
      <c r="H414" s="8">
        <v>35616</v>
      </c>
      <c r="I414" s="8">
        <v>35137</v>
      </c>
      <c r="J414" s="8">
        <v>35320</v>
      </c>
      <c r="K414" s="8">
        <v>33149</v>
      </c>
      <c r="L414" s="8">
        <v>31034</v>
      </c>
      <c r="M414" s="8">
        <v>30219</v>
      </c>
      <c r="N414" s="8">
        <v>28558</v>
      </c>
      <c r="O414" s="8">
        <v>25198</v>
      </c>
      <c r="P414" s="8">
        <v>23611</v>
      </c>
      <c r="Q414" s="8">
        <v>19435</v>
      </c>
      <c r="R414" s="8">
        <v>13877</v>
      </c>
      <c r="S414" s="8">
        <v>9686</v>
      </c>
      <c r="T414" s="8">
        <v>11026</v>
      </c>
      <c r="U414" s="7">
        <f t="shared" si="24"/>
        <v>23.720538952710623</v>
      </c>
      <c r="V414" s="7">
        <f t="shared" si="25"/>
        <v>68.329173045009256</v>
      </c>
      <c r="W414" s="7">
        <f t="shared" si="26"/>
        <v>7.9502880022801135</v>
      </c>
      <c r="X414" s="7">
        <f>SUM(I414:L414)/D414*100</f>
        <v>30.947028726675953</v>
      </c>
      <c r="Y414" s="7">
        <f t="shared" si="27"/>
        <v>46.350373557321959</v>
      </c>
    </row>
    <row r="415" spans="1:25" x14ac:dyDescent="0.25">
      <c r="A415" s="57">
        <v>7316</v>
      </c>
      <c r="B415" t="s">
        <v>72</v>
      </c>
      <c r="C415" t="s">
        <v>493</v>
      </c>
      <c r="D415" s="8">
        <v>245256</v>
      </c>
      <c r="E415" s="8">
        <v>23266</v>
      </c>
      <c r="F415" s="8">
        <v>18177</v>
      </c>
      <c r="G415" s="8">
        <v>17680</v>
      </c>
      <c r="H415" s="8">
        <v>21908</v>
      </c>
      <c r="I415" s="8">
        <v>24496</v>
      </c>
      <c r="J415" s="8">
        <v>23556</v>
      </c>
      <c r="K415" s="8">
        <v>20303</v>
      </c>
      <c r="L415" s="8">
        <v>16180</v>
      </c>
      <c r="M415" s="8">
        <v>14939</v>
      </c>
      <c r="N415" s="8">
        <v>14373</v>
      </c>
      <c r="O415" s="8">
        <v>13160</v>
      </c>
      <c r="P415" s="8">
        <v>10892</v>
      </c>
      <c r="Q415" s="8">
        <v>8634</v>
      </c>
      <c r="R415" s="8">
        <v>6585</v>
      </c>
      <c r="S415" s="8">
        <v>4854</v>
      </c>
      <c r="T415" s="8">
        <v>6253</v>
      </c>
      <c r="U415" s="7">
        <f t="shared" si="24"/>
        <v>24.106647747659586</v>
      </c>
      <c r="V415" s="7">
        <f t="shared" si="25"/>
        <v>68.679665329288582</v>
      </c>
      <c r="W415" s="7">
        <f t="shared" si="26"/>
        <v>7.2136869230518315</v>
      </c>
      <c r="X415" s="7">
        <f>SUM(I415:L415)/D415*100</f>
        <v>34.468066020810909</v>
      </c>
      <c r="Y415" s="7">
        <f t="shared" si="27"/>
        <v>45.603505084866512</v>
      </c>
    </row>
    <row r="416" spans="1:25" x14ac:dyDescent="0.25">
      <c r="A416" s="57">
        <v>7317</v>
      </c>
      <c r="B416" t="s">
        <v>72</v>
      </c>
      <c r="C416" t="s">
        <v>494</v>
      </c>
      <c r="D416" s="8">
        <v>394206</v>
      </c>
      <c r="E416" s="8">
        <v>35084</v>
      </c>
      <c r="F416" s="8">
        <v>31235</v>
      </c>
      <c r="G416" s="8">
        <v>29516</v>
      </c>
      <c r="H416" s="8">
        <v>34623</v>
      </c>
      <c r="I416" s="8">
        <v>35599</v>
      </c>
      <c r="J416" s="8">
        <v>35188</v>
      </c>
      <c r="K416" s="8">
        <v>32099</v>
      </c>
      <c r="L416" s="8">
        <v>27833</v>
      </c>
      <c r="M416" s="8">
        <v>25712</v>
      </c>
      <c r="N416" s="8">
        <v>24791</v>
      </c>
      <c r="O416" s="8">
        <v>22949</v>
      </c>
      <c r="P416" s="8">
        <v>18614</v>
      </c>
      <c r="Q416" s="8">
        <v>13982</v>
      </c>
      <c r="R416" s="8">
        <v>10206</v>
      </c>
      <c r="S416" s="8">
        <v>7724</v>
      </c>
      <c r="T416" s="8">
        <v>9051</v>
      </c>
      <c r="U416" s="7">
        <f t="shared" si="24"/>
        <v>24.310893289295443</v>
      </c>
      <c r="V416" s="7">
        <f t="shared" si="25"/>
        <v>68.844715707016121</v>
      </c>
      <c r="W416" s="7">
        <f t="shared" si="26"/>
        <v>6.8443910036884272</v>
      </c>
      <c r="X416" s="7">
        <f>SUM(I416:L416)/D416*100</f>
        <v>33.160073667067472</v>
      </c>
      <c r="Y416" s="7">
        <f t="shared" si="27"/>
        <v>45.254430892811079</v>
      </c>
    </row>
    <row r="417" spans="1:25" x14ac:dyDescent="0.25">
      <c r="A417" s="57">
        <v>7318</v>
      </c>
      <c r="B417" t="s">
        <v>72</v>
      </c>
      <c r="C417" t="s">
        <v>495</v>
      </c>
      <c r="D417" s="8">
        <v>298208</v>
      </c>
      <c r="E417" s="8">
        <v>28386</v>
      </c>
      <c r="F417" s="8">
        <v>20017</v>
      </c>
      <c r="G417" s="8">
        <v>19149</v>
      </c>
      <c r="H417" s="8">
        <v>24952</v>
      </c>
      <c r="I417" s="8">
        <v>28556</v>
      </c>
      <c r="J417" s="8">
        <v>26983</v>
      </c>
      <c r="K417" s="8">
        <v>24132</v>
      </c>
      <c r="L417" s="8">
        <v>22619</v>
      </c>
      <c r="M417" s="8">
        <v>19502</v>
      </c>
      <c r="N417" s="8">
        <v>18408</v>
      </c>
      <c r="O417" s="8">
        <v>16186</v>
      </c>
      <c r="P417" s="8">
        <v>14020</v>
      </c>
      <c r="Q417" s="8">
        <v>10538</v>
      </c>
      <c r="R417" s="8">
        <v>8609</v>
      </c>
      <c r="S417" s="8">
        <v>6854</v>
      </c>
      <c r="T417" s="8">
        <v>9297</v>
      </c>
      <c r="U417" s="7">
        <f t="shared" si="24"/>
        <v>22.652645133598025</v>
      </c>
      <c r="V417" s="7">
        <f t="shared" si="25"/>
        <v>69.044425367528703</v>
      </c>
      <c r="W417" s="7">
        <f t="shared" si="26"/>
        <v>8.3029294988732705</v>
      </c>
      <c r="X417" s="7">
        <f>SUM(I417:L417)/D417*100</f>
        <v>34.301561326322563</v>
      </c>
      <c r="Y417" s="7">
        <f t="shared" si="27"/>
        <v>44.834285270233515</v>
      </c>
    </row>
    <row r="418" spans="1:25" x14ac:dyDescent="0.25">
      <c r="A418" s="57">
        <v>7322</v>
      </c>
      <c r="B418" t="s">
        <v>72</v>
      </c>
      <c r="C418" t="s">
        <v>496</v>
      </c>
      <c r="D418" s="8">
        <v>345321</v>
      </c>
      <c r="E418" s="8">
        <v>30486</v>
      </c>
      <c r="F418" s="8">
        <v>27097</v>
      </c>
      <c r="G418" s="8">
        <v>24524</v>
      </c>
      <c r="H418" s="8">
        <v>29205</v>
      </c>
      <c r="I418" s="8">
        <v>31883</v>
      </c>
      <c r="J418" s="8">
        <v>31846</v>
      </c>
      <c r="K418" s="8">
        <v>27597</v>
      </c>
      <c r="L418" s="8">
        <v>24008</v>
      </c>
      <c r="M418" s="8">
        <v>23434</v>
      </c>
      <c r="N418" s="8">
        <v>22470</v>
      </c>
      <c r="O418" s="8">
        <v>20233</v>
      </c>
      <c r="P418" s="8">
        <v>16223</v>
      </c>
      <c r="Q418" s="8">
        <v>13109</v>
      </c>
      <c r="R418" s="8">
        <v>9507</v>
      </c>
      <c r="S418" s="8">
        <v>6550</v>
      </c>
      <c r="T418" s="8">
        <v>7149</v>
      </c>
      <c r="U418" s="7">
        <f t="shared" si="24"/>
        <v>23.777007479996872</v>
      </c>
      <c r="V418" s="7">
        <f t="shared" si="25"/>
        <v>69.502868345684163</v>
      </c>
      <c r="W418" s="7">
        <f t="shared" si="26"/>
        <v>6.7201241743189675</v>
      </c>
      <c r="X418" s="7">
        <f>SUM(I418:L418)/D418*100</f>
        <v>33.399069271779013</v>
      </c>
      <c r="Y418" s="7">
        <f t="shared" si="27"/>
        <v>43.878954034865501</v>
      </c>
    </row>
    <row r="419" spans="1:25" x14ac:dyDescent="0.25">
      <c r="A419" s="57">
        <v>7325</v>
      </c>
      <c r="B419" t="s">
        <v>72</v>
      </c>
      <c r="C419" t="s">
        <v>497</v>
      </c>
      <c r="D419" s="8">
        <v>321021</v>
      </c>
      <c r="E419" s="8">
        <v>27569</v>
      </c>
      <c r="F419" s="8">
        <v>29420</v>
      </c>
      <c r="G419" s="8">
        <v>25271</v>
      </c>
      <c r="H419" s="8">
        <v>27732</v>
      </c>
      <c r="I419" s="8">
        <v>27357</v>
      </c>
      <c r="J419" s="8">
        <v>26499</v>
      </c>
      <c r="K419" s="8">
        <v>25555</v>
      </c>
      <c r="L419" s="8">
        <v>23580</v>
      </c>
      <c r="M419" s="8">
        <v>23543</v>
      </c>
      <c r="N419" s="8">
        <v>22566</v>
      </c>
      <c r="O419" s="8">
        <v>18489</v>
      </c>
      <c r="P419" s="8">
        <v>13851</v>
      </c>
      <c r="Q419" s="8">
        <v>10499</v>
      </c>
      <c r="R419" s="8">
        <v>7716</v>
      </c>
      <c r="S419" s="8">
        <v>5660</v>
      </c>
      <c r="T419" s="8">
        <v>5714</v>
      </c>
      <c r="U419" s="7">
        <f t="shared" si="24"/>
        <v>25.624491855672993</v>
      </c>
      <c r="V419" s="7">
        <f t="shared" si="25"/>
        <v>68.428856679158059</v>
      </c>
      <c r="W419" s="7">
        <f t="shared" si="26"/>
        <v>5.9466514651689453</v>
      </c>
      <c r="X419" s="7">
        <f>SUM(I419:L419)/D419*100</f>
        <v>32.082324832331842</v>
      </c>
      <c r="Y419" s="7">
        <f t="shared" si="27"/>
        <v>46.137177870542764</v>
      </c>
    </row>
    <row r="420" spans="1:25" x14ac:dyDescent="0.25">
      <c r="A420" s="57">
        <v>7326</v>
      </c>
      <c r="B420" t="s">
        <v>72</v>
      </c>
      <c r="C420" t="s">
        <v>498</v>
      </c>
      <c r="D420" s="8">
        <v>286668</v>
      </c>
      <c r="E420" s="8">
        <v>29724</v>
      </c>
      <c r="F420" s="8">
        <v>23655</v>
      </c>
      <c r="G420" s="8">
        <v>22562</v>
      </c>
      <c r="H420" s="8">
        <v>27068</v>
      </c>
      <c r="I420" s="8">
        <v>27231</v>
      </c>
      <c r="J420" s="8">
        <v>25548</v>
      </c>
      <c r="K420" s="8">
        <v>21687</v>
      </c>
      <c r="L420" s="8">
        <v>18647</v>
      </c>
      <c r="M420" s="8">
        <v>16673</v>
      </c>
      <c r="N420" s="8">
        <v>16020</v>
      </c>
      <c r="O420" s="8">
        <v>14312</v>
      </c>
      <c r="P420" s="8">
        <v>11899</v>
      </c>
      <c r="Q420" s="8">
        <v>9169</v>
      </c>
      <c r="R420" s="8">
        <v>7957</v>
      </c>
      <c r="S420" s="8">
        <v>6378</v>
      </c>
      <c r="T420" s="8">
        <v>8138</v>
      </c>
      <c r="U420" s="7">
        <f t="shared" si="24"/>
        <v>26.49092329803117</v>
      </c>
      <c r="V420" s="7">
        <f t="shared" si="25"/>
        <v>65.669694559560185</v>
      </c>
      <c r="W420" s="7">
        <f t="shared" si="26"/>
        <v>7.8393821424086392</v>
      </c>
      <c r="X420" s="7">
        <f>SUM(I420:L420)/D420*100</f>
        <v>32.481127994753514</v>
      </c>
      <c r="Y420" s="7">
        <f t="shared" si="27"/>
        <v>52.277242449031625</v>
      </c>
    </row>
    <row r="421" spans="1:25" x14ac:dyDescent="0.25">
      <c r="A421" s="57">
        <v>7371</v>
      </c>
      <c r="B421" t="s">
        <v>72</v>
      </c>
      <c r="C421" t="s">
        <v>499</v>
      </c>
      <c r="D421" s="8">
        <v>1482753</v>
      </c>
      <c r="E421" s="8">
        <v>117848</v>
      </c>
      <c r="F421" s="8">
        <v>112947</v>
      </c>
      <c r="G421" s="8">
        <v>108456</v>
      </c>
      <c r="H421" s="8">
        <v>125787</v>
      </c>
      <c r="I421" s="8">
        <v>130312</v>
      </c>
      <c r="J421" s="8">
        <v>126176</v>
      </c>
      <c r="K421" s="8">
        <v>120795</v>
      </c>
      <c r="L421" s="8">
        <v>117814</v>
      </c>
      <c r="M421" s="8">
        <v>105722</v>
      </c>
      <c r="N421" s="8">
        <v>95273</v>
      </c>
      <c r="O421" s="8">
        <v>82866</v>
      </c>
      <c r="P421" s="8">
        <v>72412</v>
      </c>
      <c r="Q421" s="8">
        <v>61751</v>
      </c>
      <c r="R421" s="8">
        <v>44589</v>
      </c>
      <c r="S421" s="8">
        <v>30313</v>
      </c>
      <c r="T421" s="8">
        <v>29692</v>
      </c>
      <c r="U421" s="7">
        <f t="shared" si="24"/>
        <v>22.879805335076036</v>
      </c>
      <c r="V421" s="7">
        <f t="shared" si="25"/>
        <v>70.066153971699947</v>
      </c>
      <c r="W421" s="7">
        <f t="shared" si="26"/>
        <v>7.0540406932240227</v>
      </c>
      <c r="X421" s="7">
        <f>SUM(I421:L421)/D421*100</f>
        <v>33.390389363568985</v>
      </c>
      <c r="Y421" s="7">
        <f t="shared" si="27"/>
        <v>42.722262221486403</v>
      </c>
    </row>
    <row r="422" spans="1:25" x14ac:dyDescent="0.25">
      <c r="A422" s="57">
        <v>7372</v>
      </c>
      <c r="B422" t="s">
        <v>72</v>
      </c>
      <c r="C422" t="s">
        <v>500</v>
      </c>
      <c r="D422" s="8">
        <v>165845</v>
      </c>
      <c r="E422" s="8">
        <v>14813</v>
      </c>
      <c r="F422" s="8">
        <v>15096</v>
      </c>
      <c r="G422" s="8">
        <v>12626</v>
      </c>
      <c r="H422" s="8">
        <v>12972</v>
      </c>
      <c r="I422" s="8">
        <v>13481</v>
      </c>
      <c r="J422" s="8">
        <v>13709</v>
      </c>
      <c r="K422" s="8">
        <v>13780</v>
      </c>
      <c r="L422" s="8">
        <v>12890</v>
      </c>
      <c r="M422" s="8">
        <v>11676</v>
      </c>
      <c r="N422" s="8">
        <v>10494</v>
      </c>
      <c r="O422" s="8">
        <v>9046</v>
      </c>
      <c r="P422" s="8">
        <v>7839</v>
      </c>
      <c r="Q422" s="8">
        <v>6678</v>
      </c>
      <c r="R422" s="8">
        <v>4859</v>
      </c>
      <c r="S422" s="8">
        <v>2960</v>
      </c>
      <c r="T422" s="8">
        <v>2926</v>
      </c>
      <c r="U422" s="7">
        <f t="shared" si="24"/>
        <v>25.647441888510357</v>
      </c>
      <c r="V422" s="7">
        <f t="shared" si="25"/>
        <v>67.873616931472156</v>
      </c>
      <c r="W422" s="7">
        <f t="shared" si="26"/>
        <v>6.4789411800174861</v>
      </c>
      <c r="X422" s="7">
        <f>SUM(I422:L422)/D422*100</f>
        <v>32.476107208538089</v>
      </c>
      <c r="Y422" s="7">
        <f t="shared" si="27"/>
        <v>47.332652245369346</v>
      </c>
    </row>
    <row r="423" spans="1:25" x14ac:dyDescent="0.25">
      <c r="A423" s="57">
        <v>7373</v>
      </c>
      <c r="B423" t="s">
        <v>72</v>
      </c>
      <c r="C423" t="s">
        <v>501</v>
      </c>
      <c r="D423" s="8">
        <v>201386</v>
      </c>
      <c r="E423" s="8">
        <v>18249</v>
      </c>
      <c r="F423" s="8">
        <v>17752</v>
      </c>
      <c r="G423" s="8">
        <v>14381</v>
      </c>
      <c r="H423" s="8">
        <v>16431</v>
      </c>
      <c r="I423" s="8">
        <v>17398</v>
      </c>
      <c r="J423" s="8">
        <v>17716</v>
      </c>
      <c r="K423" s="8">
        <v>17342</v>
      </c>
      <c r="L423" s="8">
        <v>16881</v>
      </c>
      <c r="M423" s="8">
        <v>15221</v>
      </c>
      <c r="N423" s="8">
        <v>12639</v>
      </c>
      <c r="O423" s="8">
        <v>10244</v>
      </c>
      <c r="P423" s="8">
        <v>8501</v>
      </c>
      <c r="Q423" s="8">
        <v>6899</v>
      </c>
      <c r="R423" s="8">
        <v>4909</v>
      </c>
      <c r="S423" s="8">
        <v>3342</v>
      </c>
      <c r="T423" s="8">
        <v>3481</v>
      </c>
      <c r="U423" s="7">
        <f t="shared" si="24"/>
        <v>25.017627839075207</v>
      </c>
      <c r="V423" s="7">
        <f t="shared" si="25"/>
        <v>69.156743765703681</v>
      </c>
      <c r="W423" s="7">
        <f t="shared" si="26"/>
        <v>5.8256283952211181</v>
      </c>
      <c r="X423" s="7">
        <f>SUM(I423:L423)/D423*100</f>
        <v>34.429900787542337</v>
      </c>
      <c r="Y423" s="7">
        <f t="shared" si="27"/>
        <v>44.599057958527197</v>
      </c>
    </row>
    <row r="424" spans="1:25" x14ac:dyDescent="0.25">
      <c r="A424" s="57">
        <v>7401</v>
      </c>
      <c r="B424" t="s">
        <v>73</v>
      </c>
      <c r="C424" t="s">
        <v>502</v>
      </c>
      <c r="D424" s="8">
        <v>125654</v>
      </c>
      <c r="E424" s="8">
        <v>12789</v>
      </c>
      <c r="F424" s="8">
        <v>12117</v>
      </c>
      <c r="G424" s="8">
        <v>11216</v>
      </c>
      <c r="H424" s="8">
        <v>11676</v>
      </c>
      <c r="I424" s="8">
        <v>11971</v>
      </c>
      <c r="J424" s="8">
        <v>11351</v>
      </c>
      <c r="K424" s="8">
        <v>10139</v>
      </c>
      <c r="L424" s="8">
        <v>8577</v>
      </c>
      <c r="M424" s="8">
        <v>7284</v>
      </c>
      <c r="N424" s="8">
        <v>6593</v>
      </c>
      <c r="O424" s="8">
        <v>5905</v>
      </c>
      <c r="P424" s="8">
        <v>4698</v>
      </c>
      <c r="Q424" s="8">
        <v>3929</v>
      </c>
      <c r="R424" s="8">
        <v>3050</v>
      </c>
      <c r="S424" s="8">
        <v>2045</v>
      </c>
      <c r="T424" s="8">
        <v>2314</v>
      </c>
      <c r="U424" s="7">
        <f t="shared" si="24"/>
        <v>28.747194677447595</v>
      </c>
      <c r="V424" s="7">
        <f t="shared" si="25"/>
        <v>65.356455027297173</v>
      </c>
      <c r="W424" s="7">
        <f t="shared" si="26"/>
        <v>5.8963502952552247</v>
      </c>
      <c r="X424" s="7">
        <f>SUM(I424:L424)/D424*100</f>
        <v>33.455361548378882</v>
      </c>
      <c r="Y424" s="7">
        <f t="shared" si="27"/>
        <v>53.007074753723074</v>
      </c>
    </row>
    <row r="425" spans="1:25" x14ac:dyDescent="0.25">
      <c r="A425" s="57">
        <v>7402</v>
      </c>
      <c r="B425" t="s">
        <v>73</v>
      </c>
      <c r="C425" t="s">
        <v>503</v>
      </c>
      <c r="D425" s="8">
        <v>234539</v>
      </c>
      <c r="E425" s="8">
        <v>22674</v>
      </c>
      <c r="F425" s="8">
        <v>20021</v>
      </c>
      <c r="G425" s="8">
        <v>21137</v>
      </c>
      <c r="H425" s="8">
        <v>23095</v>
      </c>
      <c r="I425" s="8">
        <v>22535</v>
      </c>
      <c r="J425" s="8">
        <v>21085</v>
      </c>
      <c r="K425" s="8">
        <v>16959</v>
      </c>
      <c r="L425" s="8">
        <v>14867</v>
      </c>
      <c r="M425" s="8">
        <v>13798</v>
      </c>
      <c r="N425" s="8">
        <v>12493</v>
      </c>
      <c r="O425" s="8">
        <v>12174</v>
      </c>
      <c r="P425" s="8">
        <v>10521</v>
      </c>
      <c r="Q425" s="8">
        <v>8189</v>
      </c>
      <c r="R425" s="8">
        <v>6189</v>
      </c>
      <c r="S425" s="8">
        <v>4416</v>
      </c>
      <c r="T425" s="8">
        <v>4386</v>
      </c>
      <c r="U425" s="7">
        <f t="shared" si="24"/>
        <v>27.215942764316381</v>
      </c>
      <c r="V425" s="7">
        <f t="shared" si="25"/>
        <v>66.392369712499843</v>
      </c>
      <c r="W425" s="7">
        <f t="shared" si="26"/>
        <v>6.3916875231837773</v>
      </c>
      <c r="X425" s="7">
        <f>SUM(I425:L425)/D425*100</f>
        <v>32.167784462285596</v>
      </c>
      <c r="Y425" s="7">
        <f t="shared" si="27"/>
        <v>50.619717948059282</v>
      </c>
    </row>
    <row r="426" spans="1:25" x14ac:dyDescent="0.25">
      <c r="A426" s="57">
        <v>7403</v>
      </c>
      <c r="B426" t="s">
        <v>73</v>
      </c>
      <c r="C426" t="s">
        <v>504</v>
      </c>
      <c r="D426" s="8">
        <v>282999</v>
      </c>
      <c r="E426" s="8">
        <v>26803</v>
      </c>
      <c r="F426" s="8">
        <v>24488</v>
      </c>
      <c r="G426" s="8">
        <v>22508</v>
      </c>
      <c r="H426" s="8">
        <v>24109</v>
      </c>
      <c r="I426" s="8">
        <v>24328</v>
      </c>
      <c r="J426" s="8">
        <v>24206</v>
      </c>
      <c r="K426" s="8">
        <v>22969</v>
      </c>
      <c r="L426" s="8">
        <v>20908</v>
      </c>
      <c r="M426" s="8">
        <v>19779</v>
      </c>
      <c r="N426" s="8">
        <v>18527</v>
      </c>
      <c r="O426" s="8">
        <v>15363</v>
      </c>
      <c r="P426" s="8">
        <v>12003</v>
      </c>
      <c r="Q426" s="8">
        <v>10031</v>
      </c>
      <c r="R426" s="8">
        <v>7324</v>
      </c>
      <c r="S426" s="8">
        <v>5107</v>
      </c>
      <c r="T426" s="8">
        <v>4546</v>
      </c>
      <c r="U426" s="7">
        <f t="shared" si="24"/>
        <v>26.077477305573517</v>
      </c>
      <c r="V426" s="7">
        <f t="shared" si="25"/>
        <v>67.923561567355364</v>
      </c>
      <c r="W426" s="7">
        <f t="shared" si="26"/>
        <v>5.9989611270711203</v>
      </c>
      <c r="X426" s="7">
        <f>SUM(I426:L426)/D426*100</f>
        <v>32.654178990031767</v>
      </c>
      <c r="Y426" s="7">
        <f t="shared" si="27"/>
        <v>47.224317589466402</v>
      </c>
    </row>
    <row r="427" spans="1:25" x14ac:dyDescent="0.25">
      <c r="A427" s="57">
        <v>7404</v>
      </c>
      <c r="B427" t="s">
        <v>73</v>
      </c>
      <c r="C427" t="s">
        <v>505</v>
      </c>
      <c r="D427" s="8">
        <v>254270</v>
      </c>
      <c r="E427" s="8">
        <v>21507</v>
      </c>
      <c r="F427" s="8">
        <v>22362</v>
      </c>
      <c r="G427" s="8">
        <v>23151</v>
      </c>
      <c r="H427" s="8">
        <v>22704</v>
      </c>
      <c r="I427" s="8">
        <v>20914</v>
      </c>
      <c r="J427" s="8">
        <v>20106</v>
      </c>
      <c r="K427" s="8">
        <v>19645</v>
      </c>
      <c r="L427" s="8">
        <v>18637</v>
      </c>
      <c r="M427" s="8">
        <v>18223</v>
      </c>
      <c r="N427" s="8">
        <v>17072</v>
      </c>
      <c r="O427" s="8">
        <v>14412</v>
      </c>
      <c r="P427" s="8">
        <v>11741</v>
      </c>
      <c r="Q427" s="8">
        <v>9098</v>
      </c>
      <c r="R427" s="8">
        <v>6269</v>
      </c>
      <c r="S427" s="8">
        <v>4257</v>
      </c>
      <c r="T427" s="8">
        <v>4172</v>
      </c>
      <c r="U427" s="7">
        <f t="shared" si="24"/>
        <v>26.357808628623118</v>
      </c>
      <c r="V427" s="7">
        <f t="shared" si="25"/>
        <v>67.861721791796128</v>
      </c>
      <c r="W427" s="7">
        <f t="shared" si="26"/>
        <v>5.7804695795807604</v>
      </c>
      <c r="X427" s="7">
        <f>SUM(I427:L427)/D427*100</f>
        <v>31.188107130215915</v>
      </c>
      <c r="Y427" s="7">
        <f t="shared" si="27"/>
        <v>47.358477444480506</v>
      </c>
    </row>
    <row r="428" spans="1:25" x14ac:dyDescent="0.25">
      <c r="A428" s="57">
        <v>7405</v>
      </c>
      <c r="B428" t="s">
        <v>73</v>
      </c>
      <c r="C428" t="s">
        <v>506</v>
      </c>
      <c r="D428" s="8">
        <v>340022</v>
      </c>
      <c r="E428" s="8">
        <v>31310</v>
      </c>
      <c r="F428" s="8">
        <v>29891</v>
      </c>
      <c r="G428" s="8">
        <v>28862</v>
      </c>
      <c r="H428" s="8">
        <v>29096</v>
      </c>
      <c r="I428" s="8">
        <v>28430</v>
      </c>
      <c r="J428" s="8">
        <v>28249</v>
      </c>
      <c r="K428" s="8">
        <v>27323</v>
      </c>
      <c r="L428" s="8">
        <v>24266</v>
      </c>
      <c r="M428" s="8">
        <v>23300</v>
      </c>
      <c r="N428" s="8">
        <v>21898</v>
      </c>
      <c r="O428" s="8">
        <v>19561</v>
      </c>
      <c r="P428" s="8">
        <v>15642</v>
      </c>
      <c r="Q428" s="8">
        <v>12060</v>
      </c>
      <c r="R428" s="8">
        <v>8658</v>
      </c>
      <c r="S428" s="8">
        <v>5836</v>
      </c>
      <c r="T428" s="8">
        <v>5640</v>
      </c>
      <c r="U428" s="7">
        <f t="shared" si="24"/>
        <v>26.48740375622754</v>
      </c>
      <c r="V428" s="7">
        <f t="shared" si="25"/>
        <v>67.591214686108543</v>
      </c>
      <c r="W428" s="7">
        <f t="shared" si="26"/>
        <v>5.9213815576639153</v>
      </c>
      <c r="X428" s="7">
        <f>SUM(I428:L428)/D428*100</f>
        <v>31.841469081412377</v>
      </c>
      <c r="Y428" s="7">
        <f t="shared" si="27"/>
        <v>47.948221472859785</v>
      </c>
    </row>
    <row r="429" spans="1:25" x14ac:dyDescent="0.25">
      <c r="A429" s="57">
        <v>7406</v>
      </c>
      <c r="B429" t="s">
        <v>73</v>
      </c>
      <c r="C429" t="s">
        <v>507</v>
      </c>
      <c r="D429" s="8">
        <v>165590</v>
      </c>
      <c r="E429" s="8">
        <v>15844</v>
      </c>
      <c r="F429" s="8">
        <v>15579</v>
      </c>
      <c r="G429" s="8">
        <v>14526</v>
      </c>
      <c r="H429" s="8">
        <v>13633</v>
      </c>
      <c r="I429" s="8">
        <v>12353</v>
      </c>
      <c r="J429" s="8">
        <v>13055</v>
      </c>
      <c r="K429" s="8">
        <v>13109</v>
      </c>
      <c r="L429" s="8">
        <v>12842</v>
      </c>
      <c r="M429" s="8">
        <v>12226</v>
      </c>
      <c r="N429" s="8">
        <v>10961</v>
      </c>
      <c r="O429" s="8">
        <v>9706</v>
      </c>
      <c r="P429" s="8">
        <v>7602</v>
      </c>
      <c r="Q429" s="8">
        <v>5571</v>
      </c>
      <c r="R429" s="8">
        <v>3861</v>
      </c>
      <c r="S429" s="8">
        <v>2350</v>
      </c>
      <c r="T429" s="8">
        <v>2372</v>
      </c>
      <c r="U429" s="7">
        <f t="shared" si="24"/>
        <v>27.748656319826075</v>
      </c>
      <c r="V429" s="7">
        <f t="shared" si="25"/>
        <v>67.068059665438739</v>
      </c>
      <c r="W429" s="7">
        <f t="shared" si="26"/>
        <v>5.1832840147351895</v>
      </c>
      <c r="X429" s="7">
        <f>SUM(I429:L429)/D429*100</f>
        <v>31.015761821366024</v>
      </c>
      <c r="Y429" s="7">
        <f t="shared" si="27"/>
        <v>49.102270885483264</v>
      </c>
    </row>
    <row r="430" spans="1:25" x14ac:dyDescent="0.25">
      <c r="A430" s="57">
        <v>7407</v>
      </c>
      <c r="B430" t="s">
        <v>73</v>
      </c>
      <c r="C430" t="s">
        <v>508</v>
      </c>
      <c r="D430" s="8">
        <v>121788</v>
      </c>
      <c r="E430" s="8">
        <v>12141</v>
      </c>
      <c r="F430" s="8">
        <v>10643</v>
      </c>
      <c r="G430" s="8">
        <v>9989</v>
      </c>
      <c r="H430" s="8">
        <v>9755</v>
      </c>
      <c r="I430" s="8">
        <v>9987</v>
      </c>
      <c r="J430" s="8">
        <v>10358</v>
      </c>
      <c r="K430" s="8">
        <v>10086</v>
      </c>
      <c r="L430" s="8">
        <v>9446</v>
      </c>
      <c r="M430" s="8">
        <v>8075</v>
      </c>
      <c r="N430" s="8">
        <v>7344</v>
      </c>
      <c r="O430" s="8">
        <v>5926</v>
      </c>
      <c r="P430" s="8">
        <v>5324</v>
      </c>
      <c r="Q430" s="8">
        <v>4406</v>
      </c>
      <c r="R430" s="8">
        <v>3396</v>
      </c>
      <c r="S430" s="8">
        <v>2305</v>
      </c>
      <c r="T430" s="8">
        <v>2607</v>
      </c>
      <c r="U430" s="7">
        <f t="shared" si="24"/>
        <v>26.909876178277003</v>
      </c>
      <c r="V430" s="7">
        <f t="shared" si="25"/>
        <v>66.268433671626099</v>
      </c>
      <c r="W430" s="7">
        <f t="shared" si="26"/>
        <v>6.8216901500968898</v>
      </c>
      <c r="X430" s="7">
        <f>SUM(I430:L430)/D430*100</f>
        <v>32.742963181922683</v>
      </c>
      <c r="Y430" s="7">
        <f t="shared" si="27"/>
        <v>50.901408799732359</v>
      </c>
    </row>
    <row r="431" spans="1:25" x14ac:dyDescent="0.25">
      <c r="A431" s="57">
        <v>7408</v>
      </c>
      <c r="B431" t="s">
        <v>73</v>
      </c>
      <c r="C431" t="s">
        <v>509</v>
      </c>
      <c r="D431" s="8">
        <v>154176</v>
      </c>
      <c r="E431" s="8">
        <v>14890</v>
      </c>
      <c r="F431" s="8">
        <v>12856</v>
      </c>
      <c r="G431" s="8">
        <v>12602</v>
      </c>
      <c r="H431" s="8">
        <v>12440</v>
      </c>
      <c r="I431" s="8">
        <v>13118</v>
      </c>
      <c r="J431" s="8">
        <v>13163</v>
      </c>
      <c r="K431" s="8">
        <v>12564</v>
      </c>
      <c r="L431" s="8">
        <v>12529</v>
      </c>
      <c r="M431" s="8">
        <v>11349</v>
      </c>
      <c r="N431" s="8">
        <v>10458</v>
      </c>
      <c r="O431" s="8">
        <v>8792</v>
      </c>
      <c r="P431" s="8">
        <v>6925</v>
      </c>
      <c r="Q431" s="8">
        <v>5081</v>
      </c>
      <c r="R431" s="8">
        <v>3386</v>
      </c>
      <c r="S431" s="8">
        <v>2086</v>
      </c>
      <c r="T431" s="8">
        <v>1937</v>
      </c>
      <c r="U431" s="7">
        <f t="shared" si="24"/>
        <v>26.170091324200911</v>
      </c>
      <c r="V431" s="7">
        <f t="shared" si="25"/>
        <v>69.024361768368607</v>
      </c>
      <c r="W431" s="7">
        <f t="shared" si="26"/>
        <v>4.8055469074304691</v>
      </c>
      <c r="X431" s="7">
        <f>SUM(I431:L431)/D431*100</f>
        <v>33.321658364466586</v>
      </c>
      <c r="Y431" s="7">
        <f t="shared" si="27"/>
        <v>44.876384856087732</v>
      </c>
    </row>
    <row r="432" spans="1:25" x14ac:dyDescent="0.25">
      <c r="A432" s="57">
        <v>7409</v>
      </c>
      <c r="B432" t="s">
        <v>73</v>
      </c>
      <c r="C432" t="s">
        <v>510</v>
      </c>
      <c r="D432" s="8">
        <v>71406</v>
      </c>
      <c r="E432" s="8">
        <v>7014</v>
      </c>
      <c r="F432" s="8">
        <v>6872</v>
      </c>
      <c r="G432" s="8">
        <v>6531</v>
      </c>
      <c r="H432" s="8">
        <v>6652</v>
      </c>
      <c r="I432" s="8">
        <v>6049</v>
      </c>
      <c r="J432" s="8">
        <v>5676</v>
      </c>
      <c r="K432" s="8">
        <v>5570</v>
      </c>
      <c r="L432" s="8">
        <v>5524</v>
      </c>
      <c r="M432" s="8">
        <v>4542</v>
      </c>
      <c r="N432" s="8">
        <v>3927</v>
      </c>
      <c r="O432" s="8">
        <v>3766</v>
      </c>
      <c r="P432" s="8">
        <v>3161</v>
      </c>
      <c r="Q432" s="8">
        <v>2209</v>
      </c>
      <c r="R432" s="8">
        <v>1569</v>
      </c>
      <c r="S432" s="8">
        <v>1124</v>
      </c>
      <c r="T432" s="8">
        <v>1220</v>
      </c>
      <c r="U432" s="7">
        <f t="shared" si="24"/>
        <v>28.592835335966164</v>
      </c>
      <c r="V432" s="7">
        <f t="shared" si="25"/>
        <v>65.927233005629787</v>
      </c>
      <c r="W432" s="7">
        <f t="shared" si="26"/>
        <v>5.4799316584040563</v>
      </c>
      <c r="X432" s="7">
        <f>SUM(I432:L432)/D432*100</f>
        <v>31.956698316668071</v>
      </c>
      <c r="Y432" s="7">
        <f t="shared" si="27"/>
        <v>51.682385929135869</v>
      </c>
    </row>
    <row r="433" spans="1:25" x14ac:dyDescent="0.25">
      <c r="A433" s="57">
        <v>7410</v>
      </c>
      <c r="B433" t="s">
        <v>73</v>
      </c>
      <c r="C433" t="s">
        <v>511</v>
      </c>
      <c r="D433" s="8">
        <v>76966</v>
      </c>
      <c r="E433" s="8">
        <v>7772</v>
      </c>
      <c r="F433" s="8">
        <v>7703</v>
      </c>
      <c r="G433" s="8">
        <v>7128</v>
      </c>
      <c r="H433" s="8">
        <v>6439</v>
      </c>
      <c r="I433" s="8">
        <v>6610</v>
      </c>
      <c r="J433" s="8">
        <v>6259</v>
      </c>
      <c r="K433" s="8">
        <v>6346</v>
      </c>
      <c r="L433" s="8">
        <v>5997</v>
      </c>
      <c r="M433" s="8">
        <v>5455</v>
      </c>
      <c r="N433" s="8">
        <v>4858</v>
      </c>
      <c r="O433" s="8">
        <v>3919</v>
      </c>
      <c r="P433" s="8">
        <v>3018</v>
      </c>
      <c r="Q433" s="8">
        <v>2148</v>
      </c>
      <c r="R433" s="8">
        <v>1518</v>
      </c>
      <c r="S433" s="8">
        <v>972</v>
      </c>
      <c r="T433" s="8">
        <v>824</v>
      </c>
      <c r="U433" s="7">
        <f t="shared" si="24"/>
        <v>29.367512927786294</v>
      </c>
      <c r="V433" s="7">
        <f t="shared" si="25"/>
        <v>66.326689707143416</v>
      </c>
      <c r="W433" s="7">
        <f t="shared" si="26"/>
        <v>4.3057973650702905</v>
      </c>
      <c r="X433" s="7">
        <f>SUM(I433:L433)/D433*100</f>
        <v>32.757321414650626</v>
      </c>
      <c r="Y433" s="7">
        <f t="shared" si="27"/>
        <v>50.768869125741936</v>
      </c>
    </row>
    <row r="434" spans="1:25" x14ac:dyDescent="0.25">
      <c r="A434" s="57">
        <v>7411</v>
      </c>
      <c r="B434" t="s">
        <v>73</v>
      </c>
      <c r="C434" t="s">
        <v>512</v>
      </c>
      <c r="D434" s="8">
        <v>131041</v>
      </c>
      <c r="E434" s="8">
        <v>11701</v>
      </c>
      <c r="F434" s="8">
        <v>10871</v>
      </c>
      <c r="G434" s="8">
        <v>9810</v>
      </c>
      <c r="H434" s="8">
        <v>10432</v>
      </c>
      <c r="I434" s="8">
        <v>11208</v>
      </c>
      <c r="J434" s="8">
        <v>10881</v>
      </c>
      <c r="K434" s="8">
        <v>10202</v>
      </c>
      <c r="L434" s="8">
        <v>9385</v>
      </c>
      <c r="M434" s="8">
        <v>9212</v>
      </c>
      <c r="N434" s="8">
        <v>9208</v>
      </c>
      <c r="O434" s="8">
        <v>8327</v>
      </c>
      <c r="P434" s="8">
        <v>6743</v>
      </c>
      <c r="Q434" s="8">
        <v>5119</v>
      </c>
      <c r="R434" s="8">
        <v>3479</v>
      </c>
      <c r="S434" s="8">
        <v>2293</v>
      </c>
      <c r="T434" s="8">
        <v>2170</v>
      </c>
      <c r="U434" s="7">
        <f t="shared" si="24"/>
        <v>24.711349882861089</v>
      </c>
      <c r="V434" s="7">
        <f t="shared" si="25"/>
        <v>69.227951557146241</v>
      </c>
      <c r="W434" s="7">
        <f t="shared" si="26"/>
        <v>6.0606985599926739</v>
      </c>
      <c r="X434" s="7">
        <f>SUM(I434:L434)/D434*100</f>
        <v>31.8037866011401</v>
      </c>
      <c r="Y434" s="7">
        <f t="shared" si="27"/>
        <v>44.450323533626552</v>
      </c>
    </row>
    <row r="435" spans="1:25" x14ac:dyDescent="0.25">
      <c r="A435" s="57">
        <v>7412</v>
      </c>
      <c r="B435" t="s">
        <v>73</v>
      </c>
      <c r="C435" t="s">
        <v>513</v>
      </c>
      <c r="D435" s="8">
        <v>41021</v>
      </c>
      <c r="E435" s="8">
        <v>4129</v>
      </c>
      <c r="F435" s="8">
        <v>3745</v>
      </c>
      <c r="G435" s="8">
        <v>3527</v>
      </c>
      <c r="H435" s="8">
        <v>3648</v>
      </c>
      <c r="I435" s="8">
        <v>3594</v>
      </c>
      <c r="J435" s="8">
        <v>3480</v>
      </c>
      <c r="K435" s="8">
        <v>3609</v>
      </c>
      <c r="L435" s="8">
        <v>3306</v>
      </c>
      <c r="M435" s="8">
        <v>2551</v>
      </c>
      <c r="N435" s="8">
        <v>2291</v>
      </c>
      <c r="O435" s="8">
        <v>2112</v>
      </c>
      <c r="P435" s="8">
        <v>1681</v>
      </c>
      <c r="Q435" s="8">
        <v>1220</v>
      </c>
      <c r="R435" s="8">
        <v>966</v>
      </c>
      <c r="S435" s="8">
        <v>639</v>
      </c>
      <c r="T435" s="8">
        <v>523</v>
      </c>
      <c r="U435" s="7">
        <f t="shared" si="24"/>
        <v>27.793081592355133</v>
      </c>
      <c r="V435" s="7">
        <f t="shared" si="25"/>
        <v>67.019331561882936</v>
      </c>
      <c r="W435" s="7">
        <f t="shared" si="26"/>
        <v>5.1875868457619267</v>
      </c>
      <c r="X435" s="7">
        <f>SUM(I435:L435)/D435*100</f>
        <v>34.102045293873864</v>
      </c>
      <c r="Y435" s="7">
        <f t="shared" si="27"/>
        <v>49.210679470391391</v>
      </c>
    </row>
    <row r="436" spans="1:25" x14ac:dyDescent="0.25">
      <c r="A436" s="57">
        <v>7413</v>
      </c>
      <c r="B436" t="s">
        <v>73</v>
      </c>
      <c r="C436" t="s">
        <v>514</v>
      </c>
      <c r="D436" s="8">
        <v>94305</v>
      </c>
      <c r="E436" s="8">
        <v>9476</v>
      </c>
      <c r="F436" s="8">
        <v>8530</v>
      </c>
      <c r="G436" s="8">
        <v>8425</v>
      </c>
      <c r="H436" s="8">
        <v>8170</v>
      </c>
      <c r="I436" s="8">
        <v>8002</v>
      </c>
      <c r="J436" s="8">
        <v>8139</v>
      </c>
      <c r="K436" s="8">
        <v>7713</v>
      </c>
      <c r="L436" s="8">
        <v>6879</v>
      </c>
      <c r="M436" s="8">
        <v>5916</v>
      </c>
      <c r="N436" s="8">
        <v>5095</v>
      </c>
      <c r="O436" s="8">
        <v>4765</v>
      </c>
      <c r="P436" s="8">
        <v>3980</v>
      </c>
      <c r="Q436" s="8">
        <v>3173</v>
      </c>
      <c r="R436" s="8">
        <v>2410</v>
      </c>
      <c r="S436" s="8">
        <v>1763</v>
      </c>
      <c r="T436" s="8">
        <v>1869</v>
      </c>
      <c r="U436" s="7">
        <f t="shared" si="24"/>
        <v>28.027145962568262</v>
      </c>
      <c r="V436" s="7">
        <f t="shared" si="25"/>
        <v>65.565982715656645</v>
      </c>
      <c r="W436" s="7">
        <f t="shared" si="26"/>
        <v>6.4068713217750917</v>
      </c>
      <c r="X436" s="7">
        <f>SUM(I436:L436)/D436*100</f>
        <v>32.588940141031756</v>
      </c>
      <c r="Y436" s="7">
        <f t="shared" si="27"/>
        <v>52.518113598136885</v>
      </c>
    </row>
    <row r="437" spans="1:25" x14ac:dyDescent="0.25">
      <c r="A437" s="57">
        <v>7414</v>
      </c>
      <c r="B437" t="s">
        <v>73</v>
      </c>
      <c r="C437" t="s">
        <v>515</v>
      </c>
      <c r="D437" s="8">
        <v>124926</v>
      </c>
      <c r="E437" s="8">
        <v>12998</v>
      </c>
      <c r="F437" s="8">
        <v>11447</v>
      </c>
      <c r="G437" s="8">
        <v>11968</v>
      </c>
      <c r="H437" s="8">
        <v>12312</v>
      </c>
      <c r="I437" s="8">
        <v>11725</v>
      </c>
      <c r="J437" s="8">
        <v>11251</v>
      </c>
      <c r="K437" s="8">
        <v>9902</v>
      </c>
      <c r="L437" s="8">
        <v>8662</v>
      </c>
      <c r="M437" s="8">
        <v>7131</v>
      </c>
      <c r="N437" s="8">
        <v>6104</v>
      </c>
      <c r="O437" s="8">
        <v>5545</v>
      </c>
      <c r="P437" s="8">
        <v>4650</v>
      </c>
      <c r="Q437" s="8">
        <v>3678</v>
      </c>
      <c r="R437" s="8">
        <v>2891</v>
      </c>
      <c r="S437" s="8">
        <v>2056</v>
      </c>
      <c r="T437" s="8">
        <v>2606</v>
      </c>
      <c r="U437" s="7">
        <f t="shared" si="24"/>
        <v>29.14765541200391</v>
      </c>
      <c r="V437" s="7">
        <f t="shared" si="25"/>
        <v>64.806365368298032</v>
      </c>
      <c r="W437" s="7">
        <f t="shared" si="26"/>
        <v>6.0459792196980615</v>
      </c>
      <c r="X437" s="7">
        <f>SUM(I437:L437)/D437*100</f>
        <v>33.251684997518531</v>
      </c>
      <c r="Y437" s="7">
        <f t="shared" si="27"/>
        <v>54.305830039525695</v>
      </c>
    </row>
    <row r="438" spans="1:25" x14ac:dyDescent="0.25">
      <c r="A438" s="57">
        <v>7415</v>
      </c>
      <c r="B438" t="s">
        <v>73</v>
      </c>
      <c r="C438" t="s">
        <v>516</v>
      </c>
      <c r="D438" s="8">
        <v>104395</v>
      </c>
      <c r="E438" s="8">
        <v>11203</v>
      </c>
      <c r="F438" s="8">
        <v>10259</v>
      </c>
      <c r="G438" s="8">
        <v>9685</v>
      </c>
      <c r="H438" s="8">
        <v>9720</v>
      </c>
      <c r="I438" s="8">
        <v>10122</v>
      </c>
      <c r="J438" s="8">
        <v>9763</v>
      </c>
      <c r="K438" s="8">
        <v>8495</v>
      </c>
      <c r="L438" s="8">
        <v>7584</v>
      </c>
      <c r="M438" s="8">
        <v>6101</v>
      </c>
      <c r="N438" s="8">
        <v>5050</v>
      </c>
      <c r="O438" s="8">
        <v>4207</v>
      </c>
      <c r="P438" s="8">
        <v>3647</v>
      </c>
      <c r="Q438" s="8">
        <v>2870</v>
      </c>
      <c r="R438" s="8">
        <v>2284</v>
      </c>
      <c r="S438" s="8">
        <v>1562</v>
      </c>
      <c r="T438" s="8">
        <v>1843</v>
      </c>
      <c r="U438" s="7">
        <f t="shared" si="24"/>
        <v>29.835720101537426</v>
      </c>
      <c r="V438" s="7">
        <f t="shared" si="25"/>
        <v>64.714785190861633</v>
      </c>
      <c r="W438" s="7">
        <f t="shared" si="26"/>
        <v>5.4494947076009392</v>
      </c>
      <c r="X438" s="7">
        <f>SUM(I438:L438)/D438*100</f>
        <v>34.4499257627281</v>
      </c>
      <c r="Y438" s="7">
        <f t="shared" si="27"/>
        <v>54.524193667757068</v>
      </c>
    </row>
    <row r="439" spans="1:25" x14ac:dyDescent="0.25">
      <c r="A439" s="57">
        <v>7471</v>
      </c>
      <c r="B439" t="s">
        <v>73</v>
      </c>
      <c r="C439" t="s">
        <v>517</v>
      </c>
      <c r="D439" s="8">
        <v>383708</v>
      </c>
      <c r="E439" s="8">
        <v>33801</v>
      </c>
      <c r="F439" s="8">
        <v>33786</v>
      </c>
      <c r="G439" s="8">
        <v>32636</v>
      </c>
      <c r="H439" s="8">
        <v>30460</v>
      </c>
      <c r="I439" s="8">
        <v>29187</v>
      </c>
      <c r="J439" s="8">
        <v>32582</v>
      </c>
      <c r="K439" s="8">
        <v>34687</v>
      </c>
      <c r="L439" s="8">
        <v>32524</v>
      </c>
      <c r="M439" s="8">
        <v>28965</v>
      </c>
      <c r="N439" s="8">
        <v>25251</v>
      </c>
      <c r="O439" s="8">
        <v>20597</v>
      </c>
      <c r="P439" s="8">
        <v>16574</v>
      </c>
      <c r="Q439" s="8">
        <v>13505</v>
      </c>
      <c r="R439" s="8">
        <v>9041</v>
      </c>
      <c r="S439" s="8">
        <v>5645</v>
      </c>
      <c r="T439" s="8">
        <v>4467</v>
      </c>
      <c r="U439" s="7">
        <f t="shared" si="24"/>
        <v>26.119601363536855</v>
      </c>
      <c r="V439" s="7">
        <f t="shared" si="25"/>
        <v>68.888842557361329</v>
      </c>
      <c r="W439" s="7">
        <f t="shared" si="26"/>
        <v>4.9915560791018176</v>
      </c>
      <c r="X439" s="7">
        <f>SUM(I439:L439)/D439*100</f>
        <v>33.614102390359335</v>
      </c>
      <c r="Y439" s="7">
        <f t="shared" si="27"/>
        <v>45.161387951515522</v>
      </c>
    </row>
    <row r="440" spans="1:25" x14ac:dyDescent="0.25">
      <c r="A440" s="57">
        <v>7472</v>
      </c>
      <c r="B440" t="s">
        <v>73</v>
      </c>
      <c r="C440" t="s">
        <v>518</v>
      </c>
      <c r="D440" s="8">
        <v>173182</v>
      </c>
      <c r="E440" s="8">
        <v>15599</v>
      </c>
      <c r="F440" s="8">
        <v>16590</v>
      </c>
      <c r="G440" s="8">
        <v>15529</v>
      </c>
      <c r="H440" s="8">
        <v>14530</v>
      </c>
      <c r="I440" s="8">
        <v>14639</v>
      </c>
      <c r="J440" s="8">
        <v>13607</v>
      </c>
      <c r="K440" s="8">
        <v>13693</v>
      </c>
      <c r="L440" s="8">
        <v>13865</v>
      </c>
      <c r="M440" s="8">
        <v>12595</v>
      </c>
      <c r="N440" s="8">
        <v>10521</v>
      </c>
      <c r="O440" s="8">
        <v>8633</v>
      </c>
      <c r="P440" s="8">
        <v>7314</v>
      </c>
      <c r="Q440" s="8">
        <v>5974</v>
      </c>
      <c r="R440" s="8">
        <v>4443</v>
      </c>
      <c r="S440" s="8">
        <v>2913</v>
      </c>
      <c r="T440" s="8">
        <v>2737</v>
      </c>
      <c r="U440" s="7">
        <f t="shared" si="24"/>
        <v>27.553671859662089</v>
      </c>
      <c r="V440" s="7">
        <f t="shared" si="25"/>
        <v>66.618355256319944</v>
      </c>
      <c r="W440" s="7">
        <f t="shared" si="26"/>
        <v>5.827972884017969</v>
      </c>
      <c r="X440" s="7">
        <f>SUM(I440:L440)/D440*100</f>
        <v>32.222748322573942</v>
      </c>
      <c r="Y440" s="7">
        <f t="shared" si="27"/>
        <v>50.108779502647984</v>
      </c>
    </row>
    <row r="441" spans="1:25" x14ac:dyDescent="0.25">
      <c r="A441" s="57">
        <v>7501</v>
      </c>
      <c r="B441" t="s">
        <v>74</v>
      </c>
      <c r="C441" t="s">
        <v>519</v>
      </c>
      <c r="D441" s="8">
        <v>157072</v>
      </c>
      <c r="E441" s="8">
        <v>13847</v>
      </c>
      <c r="F441" s="8">
        <v>12921</v>
      </c>
      <c r="G441" s="8">
        <v>11354</v>
      </c>
      <c r="H441" s="8">
        <v>12879</v>
      </c>
      <c r="I441" s="8">
        <v>13937</v>
      </c>
      <c r="J441" s="8">
        <v>13103</v>
      </c>
      <c r="K441" s="8">
        <v>12863</v>
      </c>
      <c r="L441" s="8">
        <v>11829</v>
      </c>
      <c r="M441" s="8">
        <v>10760</v>
      </c>
      <c r="N441" s="8">
        <v>10599</v>
      </c>
      <c r="O441" s="8">
        <v>9464</v>
      </c>
      <c r="P441" s="8">
        <v>7918</v>
      </c>
      <c r="Q441" s="8">
        <v>5905</v>
      </c>
      <c r="R441" s="8">
        <v>4215</v>
      </c>
      <c r="S441" s="8">
        <v>2791</v>
      </c>
      <c r="T441" s="8">
        <v>2687</v>
      </c>
      <c r="U441" s="7">
        <f t="shared" si="24"/>
        <v>24.270398288682898</v>
      </c>
      <c r="V441" s="7">
        <f t="shared" si="25"/>
        <v>69.558546399103591</v>
      </c>
      <c r="W441" s="7">
        <f t="shared" si="26"/>
        <v>6.1710553122135074</v>
      </c>
      <c r="X441" s="7">
        <f>SUM(I441:L441)/D441*100</f>
        <v>32.935214423958442</v>
      </c>
      <c r="Y441" s="7">
        <f t="shared" si="27"/>
        <v>43.763786302021842</v>
      </c>
    </row>
    <row r="442" spans="1:25" x14ac:dyDescent="0.25">
      <c r="A442" s="57">
        <v>7502</v>
      </c>
      <c r="B442" t="s">
        <v>74</v>
      </c>
      <c r="C442" t="s">
        <v>74</v>
      </c>
      <c r="D442" s="8">
        <v>417661</v>
      </c>
      <c r="E442" s="8">
        <v>36183</v>
      </c>
      <c r="F442" s="8">
        <v>32259</v>
      </c>
      <c r="G442" s="8">
        <v>29785</v>
      </c>
      <c r="H442" s="8">
        <v>34120</v>
      </c>
      <c r="I442" s="8">
        <v>34973</v>
      </c>
      <c r="J442" s="8">
        <v>35675</v>
      </c>
      <c r="K442" s="8">
        <v>33996</v>
      </c>
      <c r="L442" s="8">
        <v>30692</v>
      </c>
      <c r="M442" s="8">
        <v>29008</v>
      </c>
      <c r="N442" s="8">
        <v>27454</v>
      </c>
      <c r="O442" s="8">
        <v>24931</v>
      </c>
      <c r="P442" s="8">
        <v>21729</v>
      </c>
      <c r="Q442" s="8">
        <v>17601</v>
      </c>
      <c r="R442" s="8">
        <v>12622</v>
      </c>
      <c r="S442" s="8">
        <v>8416</v>
      </c>
      <c r="T442" s="8">
        <v>8217</v>
      </c>
      <c r="U442" s="7">
        <f t="shared" si="24"/>
        <v>23.518355795729072</v>
      </c>
      <c r="V442" s="7">
        <f t="shared" si="25"/>
        <v>69.477159706077416</v>
      </c>
      <c r="W442" s="7">
        <f t="shared" si="26"/>
        <v>7.004484498193511</v>
      </c>
      <c r="X442" s="7">
        <f>SUM(I442:L442)/D442*100</f>
        <v>32.403312734490413</v>
      </c>
      <c r="Y442" s="7">
        <f t="shared" si="27"/>
        <v>43.932193577067949</v>
      </c>
    </row>
    <row r="443" spans="1:25" x14ac:dyDescent="0.25">
      <c r="A443" s="57">
        <v>7503</v>
      </c>
      <c r="B443" t="s">
        <v>74</v>
      </c>
      <c r="C443" t="s">
        <v>520</v>
      </c>
      <c r="D443" s="8">
        <v>157527</v>
      </c>
      <c r="E443" s="8">
        <v>13930</v>
      </c>
      <c r="F443" s="8">
        <v>12578</v>
      </c>
      <c r="G443" s="8">
        <v>12275</v>
      </c>
      <c r="H443" s="8">
        <v>13175</v>
      </c>
      <c r="I443" s="8">
        <v>13197</v>
      </c>
      <c r="J443" s="8">
        <v>13004</v>
      </c>
      <c r="K443" s="8">
        <v>12931</v>
      </c>
      <c r="L443" s="8">
        <v>12025</v>
      </c>
      <c r="M443" s="8">
        <v>11195</v>
      </c>
      <c r="N443" s="8">
        <v>10941</v>
      </c>
      <c r="O443" s="8">
        <v>9447</v>
      </c>
      <c r="P443" s="8">
        <v>7754</v>
      </c>
      <c r="Q443" s="8">
        <v>6058</v>
      </c>
      <c r="R443" s="8">
        <v>4107</v>
      </c>
      <c r="S443" s="8">
        <v>2520</v>
      </c>
      <c r="T443" s="8">
        <v>2390</v>
      </c>
      <c r="U443" s="7">
        <f t="shared" si="24"/>
        <v>24.619906428739199</v>
      </c>
      <c r="V443" s="7">
        <f t="shared" si="25"/>
        <v>69.655995480139907</v>
      </c>
      <c r="W443" s="7">
        <f t="shared" si="26"/>
        <v>5.7240980911208865</v>
      </c>
      <c r="X443" s="7">
        <f>SUM(I443:L443)/D443*100</f>
        <v>32.47506776616072</v>
      </c>
      <c r="Y443" s="7">
        <f t="shared" si="27"/>
        <v>43.562660056321597</v>
      </c>
    </row>
    <row r="444" spans="1:25" x14ac:dyDescent="0.25">
      <c r="A444" s="57">
        <v>7504</v>
      </c>
      <c r="B444" t="s">
        <v>74</v>
      </c>
      <c r="C444" t="s">
        <v>521</v>
      </c>
      <c r="D444" s="8">
        <v>174793</v>
      </c>
      <c r="E444" s="8">
        <v>15012</v>
      </c>
      <c r="F444" s="8">
        <v>14090</v>
      </c>
      <c r="G444" s="8">
        <v>13153</v>
      </c>
      <c r="H444" s="8">
        <v>14323</v>
      </c>
      <c r="I444" s="8">
        <v>14661</v>
      </c>
      <c r="J444" s="8">
        <v>14581</v>
      </c>
      <c r="K444" s="8">
        <v>14040</v>
      </c>
      <c r="L444" s="8">
        <v>13149</v>
      </c>
      <c r="M444" s="8">
        <v>12089</v>
      </c>
      <c r="N444" s="8">
        <v>11284</v>
      </c>
      <c r="O444" s="8">
        <v>10089</v>
      </c>
      <c r="P444" s="8">
        <v>8538</v>
      </c>
      <c r="Q444" s="8">
        <v>6996</v>
      </c>
      <c r="R444" s="8">
        <v>5431</v>
      </c>
      <c r="S444" s="8">
        <v>3670</v>
      </c>
      <c r="T444" s="8">
        <v>3687</v>
      </c>
      <c r="U444" s="7">
        <f t="shared" si="24"/>
        <v>24.174309039835691</v>
      </c>
      <c r="V444" s="7">
        <f t="shared" si="25"/>
        <v>68.509608508349871</v>
      </c>
      <c r="W444" s="7">
        <f t="shared" si="26"/>
        <v>7.3160824518144318</v>
      </c>
      <c r="X444" s="7">
        <f>SUM(I444:L444)/D444*100</f>
        <v>32.2844736345277</v>
      </c>
      <c r="Y444" s="7">
        <f t="shared" si="27"/>
        <v>45.964926931106469</v>
      </c>
    </row>
    <row r="445" spans="1:25" x14ac:dyDescent="0.25">
      <c r="A445" s="57">
        <v>7505</v>
      </c>
      <c r="B445" t="s">
        <v>74</v>
      </c>
      <c r="C445" t="s">
        <v>522</v>
      </c>
      <c r="D445" s="8">
        <v>136881</v>
      </c>
      <c r="E445" s="8">
        <v>13198</v>
      </c>
      <c r="F445" s="8">
        <v>10419</v>
      </c>
      <c r="G445" s="8">
        <v>10314</v>
      </c>
      <c r="H445" s="8">
        <v>11569</v>
      </c>
      <c r="I445" s="8">
        <v>12127</v>
      </c>
      <c r="J445" s="8">
        <v>12280</v>
      </c>
      <c r="K445" s="8">
        <v>11693</v>
      </c>
      <c r="L445" s="8">
        <v>10340</v>
      </c>
      <c r="M445" s="8">
        <v>9232</v>
      </c>
      <c r="N445" s="8">
        <v>8467</v>
      </c>
      <c r="O445" s="8">
        <v>7449</v>
      </c>
      <c r="P445" s="8">
        <v>6353</v>
      </c>
      <c r="Q445" s="8">
        <v>5189</v>
      </c>
      <c r="R445" s="8">
        <v>3607</v>
      </c>
      <c r="S445" s="8">
        <v>2281</v>
      </c>
      <c r="T445" s="8">
        <v>2363</v>
      </c>
      <c r="U445" s="7">
        <f t="shared" si="24"/>
        <v>24.788685062207318</v>
      </c>
      <c r="V445" s="7">
        <f t="shared" si="25"/>
        <v>69.183451319028933</v>
      </c>
      <c r="W445" s="7">
        <f t="shared" si="26"/>
        <v>6.0278636187637433</v>
      </c>
      <c r="X445" s="7">
        <f>SUM(I445:L445)/D445*100</f>
        <v>33.927279900059176</v>
      </c>
      <c r="Y445" s="7">
        <f t="shared" si="27"/>
        <v>44.543236992998871</v>
      </c>
    </row>
    <row r="446" spans="1:25" x14ac:dyDescent="0.25">
      <c r="A446" s="57">
        <v>7571</v>
      </c>
      <c r="B446" t="s">
        <v>74</v>
      </c>
      <c r="C446" t="s">
        <v>523</v>
      </c>
      <c r="D446" s="8">
        <v>212514</v>
      </c>
      <c r="E446" s="8">
        <v>17415</v>
      </c>
      <c r="F446" s="8">
        <v>16675</v>
      </c>
      <c r="G446" s="8">
        <v>15237</v>
      </c>
      <c r="H446" s="8">
        <v>17005</v>
      </c>
      <c r="I446" s="8">
        <v>17403</v>
      </c>
      <c r="J446" s="8">
        <v>17419</v>
      </c>
      <c r="K446" s="8">
        <v>16760</v>
      </c>
      <c r="L446" s="8">
        <v>16861</v>
      </c>
      <c r="M446" s="8">
        <v>15591</v>
      </c>
      <c r="N446" s="8">
        <v>13801</v>
      </c>
      <c r="O446" s="8">
        <v>12416</v>
      </c>
      <c r="P446" s="8">
        <v>11005</v>
      </c>
      <c r="Q446" s="8">
        <v>9258</v>
      </c>
      <c r="R446" s="8">
        <v>6790</v>
      </c>
      <c r="S446" s="8">
        <v>4533</v>
      </c>
      <c r="T446" s="8">
        <v>4345</v>
      </c>
      <c r="U446" s="7">
        <f t="shared" si="24"/>
        <v>23.211176675419033</v>
      </c>
      <c r="V446" s="7">
        <f t="shared" si="25"/>
        <v>69.41613258420621</v>
      </c>
      <c r="W446" s="7">
        <f t="shared" si="26"/>
        <v>7.3726907403747513</v>
      </c>
      <c r="X446" s="7">
        <f>SUM(I446:L446)/D446*100</f>
        <v>32.206348758199461</v>
      </c>
      <c r="Y446" s="7">
        <f t="shared" si="27"/>
        <v>44.058731417647898</v>
      </c>
    </row>
    <row r="447" spans="1:25" x14ac:dyDescent="0.25">
      <c r="A447" s="57">
        <v>7601</v>
      </c>
      <c r="B447" t="s">
        <v>75</v>
      </c>
      <c r="C447" t="s">
        <v>524</v>
      </c>
      <c r="D447" s="8">
        <v>188857</v>
      </c>
      <c r="E447" s="8">
        <v>18260</v>
      </c>
      <c r="F447" s="8">
        <v>19368</v>
      </c>
      <c r="G447" s="8">
        <v>17548</v>
      </c>
      <c r="H447" s="8">
        <v>16810</v>
      </c>
      <c r="I447" s="8">
        <v>16233</v>
      </c>
      <c r="J447" s="8">
        <v>15585</v>
      </c>
      <c r="K447" s="8">
        <v>15040</v>
      </c>
      <c r="L447" s="8">
        <v>13839</v>
      </c>
      <c r="M447" s="8">
        <v>11849</v>
      </c>
      <c r="N447" s="8">
        <v>10568</v>
      </c>
      <c r="O447" s="8">
        <v>9012</v>
      </c>
      <c r="P447" s="8">
        <v>7529</v>
      </c>
      <c r="Q447" s="8">
        <v>6153</v>
      </c>
      <c r="R447" s="8">
        <v>4603</v>
      </c>
      <c r="S447" s="8">
        <v>3109</v>
      </c>
      <c r="T447" s="8">
        <v>3351</v>
      </c>
      <c r="U447" s="7">
        <f t="shared" si="24"/>
        <v>29.215755836426503</v>
      </c>
      <c r="V447" s="7">
        <f t="shared" si="25"/>
        <v>64.926372864124701</v>
      </c>
      <c r="W447" s="7">
        <f t="shared" si="26"/>
        <v>5.8578712994487896</v>
      </c>
      <c r="X447" s="7">
        <f>SUM(I447:L447)/D447*100</f>
        <v>32.139131724002816</v>
      </c>
      <c r="Y447" s="7">
        <f t="shared" si="27"/>
        <v>54.020616875173303</v>
      </c>
    </row>
    <row r="448" spans="1:25" x14ac:dyDescent="0.25">
      <c r="A448" s="57">
        <v>7602</v>
      </c>
      <c r="B448" t="s">
        <v>75</v>
      </c>
      <c r="C448" t="s">
        <v>525</v>
      </c>
      <c r="D448" s="8">
        <v>513066</v>
      </c>
      <c r="E448" s="8">
        <v>46504</v>
      </c>
      <c r="F448" s="8">
        <v>44629</v>
      </c>
      <c r="G448" s="8">
        <v>44048</v>
      </c>
      <c r="H448" s="8">
        <v>45672</v>
      </c>
      <c r="I448" s="8">
        <v>42623</v>
      </c>
      <c r="J448" s="8">
        <v>39876</v>
      </c>
      <c r="K448" s="8">
        <v>40869</v>
      </c>
      <c r="L448" s="8">
        <v>37827</v>
      </c>
      <c r="M448" s="8">
        <v>33751</v>
      </c>
      <c r="N448" s="8">
        <v>31156</v>
      </c>
      <c r="O448" s="8">
        <v>28348</v>
      </c>
      <c r="P448" s="8">
        <v>24151</v>
      </c>
      <c r="Q448" s="8">
        <v>19587</v>
      </c>
      <c r="R448" s="8">
        <v>13922</v>
      </c>
      <c r="S448" s="8">
        <v>9520</v>
      </c>
      <c r="T448" s="8">
        <v>10583</v>
      </c>
      <c r="U448" s="7">
        <f t="shared" si="24"/>
        <v>26.347682364452137</v>
      </c>
      <c r="V448" s="7">
        <f t="shared" si="25"/>
        <v>67.020617230531741</v>
      </c>
      <c r="W448" s="7">
        <f t="shared" si="26"/>
        <v>6.6317004050161197</v>
      </c>
      <c r="X448" s="7">
        <f>SUM(I448:L448)/D448*100</f>
        <v>31.417985210479742</v>
      </c>
      <c r="Y448" s="7">
        <f t="shared" si="27"/>
        <v>49.207817134880479</v>
      </c>
    </row>
    <row r="449" spans="1:25" x14ac:dyDescent="0.25">
      <c r="A449" s="57">
        <v>7603</v>
      </c>
      <c r="B449" t="s">
        <v>75</v>
      </c>
      <c r="C449" t="s">
        <v>526</v>
      </c>
      <c r="D449" s="8">
        <v>178098</v>
      </c>
      <c r="E449" s="8">
        <v>17183</v>
      </c>
      <c r="F449" s="8">
        <v>14325</v>
      </c>
      <c r="G449" s="8">
        <v>14023</v>
      </c>
      <c r="H449" s="8">
        <v>14904</v>
      </c>
      <c r="I449" s="8">
        <v>16538</v>
      </c>
      <c r="J449" s="8">
        <v>18436</v>
      </c>
      <c r="K449" s="8">
        <v>14455</v>
      </c>
      <c r="L449" s="8">
        <v>11238</v>
      </c>
      <c r="M449" s="8">
        <v>10734</v>
      </c>
      <c r="N449" s="8">
        <v>11118</v>
      </c>
      <c r="O449" s="8">
        <v>9816</v>
      </c>
      <c r="P449" s="8">
        <v>7791</v>
      </c>
      <c r="Q449" s="8">
        <v>5619</v>
      </c>
      <c r="R449" s="8">
        <v>4569</v>
      </c>
      <c r="S449" s="8">
        <v>3561</v>
      </c>
      <c r="T449" s="8">
        <v>3788</v>
      </c>
      <c r="U449" s="7">
        <f t="shared" si="24"/>
        <v>25.565138294646765</v>
      </c>
      <c r="V449" s="7">
        <f t="shared" si="25"/>
        <v>67.743040348572137</v>
      </c>
      <c r="W449" s="7">
        <f t="shared" si="26"/>
        <v>6.691821356781098</v>
      </c>
      <c r="X449" s="7">
        <f>SUM(I449:L449)/D449*100</f>
        <v>34.06383002616537</v>
      </c>
      <c r="Y449" s="7">
        <f t="shared" si="27"/>
        <v>47.616640005304646</v>
      </c>
    </row>
    <row r="450" spans="1:25" x14ac:dyDescent="0.25">
      <c r="A450" s="57">
        <v>7604</v>
      </c>
      <c r="B450" t="s">
        <v>75</v>
      </c>
      <c r="C450" t="s">
        <v>527</v>
      </c>
      <c r="D450" s="8">
        <v>306597</v>
      </c>
      <c r="E450" s="8">
        <v>29586</v>
      </c>
      <c r="F450" s="8">
        <v>28896</v>
      </c>
      <c r="G450" s="8">
        <v>27292</v>
      </c>
      <c r="H450" s="8">
        <v>27050</v>
      </c>
      <c r="I450" s="8">
        <v>26671</v>
      </c>
      <c r="J450" s="8">
        <v>25700</v>
      </c>
      <c r="K450" s="8">
        <v>24513</v>
      </c>
      <c r="L450" s="8">
        <v>23530</v>
      </c>
      <c r="M450" s="8">
        <v>21629</v>
      </c>
      <c r="N450" s="8">
        <v>18759</v>
      </c>
      <c r="O450" s="8">
        <v>15483</v>
      </c>
      <c r="P450" s="8">
        <v>12349</v>
      </c>
      <c r="Q450" s="8">
        <v>9751</v>
      </c>
      <c r="R450" s="8">
        <v>6758</v>
      </c>
      <c r="S450" s="8">
        <v>4518</v>
      </c>
      <c r="T450" s="8">
        <v>4112</v>
      </c>
      <c r="U450" s="7">
        <f t="shared" si="24"/>
        <v>27.976138057450008</v>
      </c>
      <c r="V450" s="7">
        <f t="shared" si="25"/>
        <v>67.00489567738758</v>
      </c>
      <c r="W450" s="7">
        <f t="shared" si="26"/>
        <v>5.0189662651624118</v>
      </c>
      <c r="X450" s="7">
        <f>SUM(I450:L450)/D450*100</f>
        <v>32.751135855862906</v>
      </c>
      <c r="Y450" s="7">
        <f t="shared" si="27"/>
        <v>49.242826198067512</v>
      </c>
    </row>
    <row r="451" spans="1:25" x14ac:dyDescent="0.25">
      <c r="A451" s="57">
        <v>7605</v>
      </c>
      <c r="B451" t="s">
        <v>75</v>
      </c>
      <c r="C451" t="s">
        <v>606</v>
      </c>
      <c r="D451" s="8">
        <v>210278</v>
      </c>
      <c r="E451" s="8">
        <v>20648</v>
      </c>
      <c r="F451" s="8">
        <v>18529</v>
      </c>
      <c r="G451" s="8">
        <v>17855</v>
      </c>
      <c r="H451" s="8">
        <v>18890</v>
      </c>
      <c r="I451" s="8">
        <v>18058</v>
      </c>
      <c r="J451" s="8">
        <v>17586</v>
      </c>
      <c r="K451" s="8">
        <v>18084</v>
      </c>
      <c r="L451" s="8">
        <v>16953</v>
      </c>
      <c r="M451" s="8">
        <v>15569</v>
      </c>
      <c r="N451" s="8">
        <v>13470</v>
      </c>
      <c r="O451" s="8">
        <v>11252</v>
      </c>
      <c r="P451" s="8">
        <v>8518</v>
      </c>
      <c r="Q451" s="8">
        <v>6408</v>
      </c>
      <c r="R451" s="8">
        <v>4158</v>
      </c>
      <c r="S451" s="8">
        <v>2300</v>
      </c>
      <c r="T451" s="8">
        <v>2000</v>
      </c>
      <c r="U451" s="7">
        <f t="shared" ref="U451:U481" si="28">SUM(E451:G451)/D451*100</f>
        <v>27.122190623840819</v>
      </c>
      <c r="V451" s="7">
        <f t="shared" ref="V451:V481" si="29">SUM(H451:Q451)/D451*100</f>
        <v>68.855515080036895</v>
      </c>
      <c r="W451" s="7">
        <f t="shared" ref="W451:W480" si="30">SUM(R451:T451)/D451*100</f>
        <v>4.0222942961222765</v>
      </c>
      <c r="X451" s="7">
        <f>SUM(I451:L451)/D451*100</f>
        <v>33.613121677018043</v>
      </c>
      <c r="Y451" s="7">
        <f t="shared" ref="Y451:Y480" si="31">SUM(E451:G451,R451:T451)/SUM(H451:Q451)*100</f>
        <v>45.231649031687709</v>
      </c>
    </row>
    <row r="452" spans="1:25" x14ac:dyDescent="0.25">
      <c r="A452" s="57">
        <v>7606</v>
      </c>
      <c r="B452" t="s">
        <v>75</v>
      </c>
      <c r="C452" t="s">
        <v>528</v>
      </c>
      <c r="D452" s="8">
        <v>150458</v>
      </c>
      <c r="E452" s="8">
        <v>15956</v>
      </c>
      <c r="F452" s="8">
        <v>14082</v>
      </c>
      <c r="G452" s="8">
        <v>12892</v>
      </c>
      <c r="H452" s="8">
        <v>13029</v>
      </c>
      <c r="I452" s="8">
        <v>13940</v>
      </c>
      <c r="J452" s="8">
        <v>14599</v>
      </c>
      <c r="K452" s="8">
        <v>12482</v>
      </c>
      <c r="L452" s="8">
        <v>10582</v>
      </c>
      <c r="M452" s="8">
        <v>9341</v>
      </c>
      <c r="N452" s="8">
        <v>8518</v>
      </c>
      <c r="O452" s="8">
        <v>7264</v>
      </c>
      <c r="P452" s="8">
        <v>6113</v>
      </c>
      <c r="Q452" s="8">
        <v>4807</v>
      </c>
      <c r="R452" s="8">
        <v>3259</v>
      </c>
      <c r="S452" s="8">
        <v>1961</v>
      </c>
      <c r="T452" s="8">
        <v>1633</v>
      </c>
      <c r="U452" s="7">
        <f t="shared" si="28"/>
        <v>28.532879607598133</v>
      </c>
      <c r="V452" s="7">
        <f t="shared" si="29"/>
        <v>66.912360924643423</v>
      </c>
      <c r="W452" s="7">
        <f t="shared" si="30"/>
        <v>4.5547594677584442</v>
      </c>
      <c r="X452" s="7">
        <f>SUM(I452:L452)/D452*100</f>
        <v>34.297278974863417</v>
      </c>
      <c r="Y452" s="7">
        <f t="shared" si="31"/>
        <v>49.449217779985098</v>
      </c>
    </row>
    <row r="453" spans="1:25" x14ac:dyDescent="0.25">
      <c r="A453" s="57">
        <v>8101</v>
      </c>
      <c r="B453" t="s">
        <v>76</v>
      </c>
      <c r="C453" t="s">
        <v>607</v>
      </c>
      <c r="D453" s="8">
        <v>134167</v>
      </c>
      <c r="E453" s="8">
        <v>12937</v>
      </c>
      <c r="F453" s="8">
        <v>11524</v>
      </c>
      <c r="G453" s="8">
        <v>10426</v>
      </c>
      <c r="H453" s="8">
        <v>12949</v>
      </c>
      <c r="I453" s="8">
        <v>12903</v>
      </c>
      <c r="J453" s="8">
        <v>11259</v>
      </c>
      <c r="K453" s="8">
        <v>10426</v>
      </c>
      <c r="L453" s="8">
        <v>9270</v>
      </c>
      <c r="M453" s="8">
        <v>8469</v>
      </c>
      <c r="N453" s="8">
        <v>7738</v>
      </c>
      <c r="O453" s="8">
        <v>7038</v>
      </c>
      <c r="P453" s="8">
        <v>5347</v>
      </c>
      <c r="Q453" s="8">
        <v>4475</v>
      </c>
      <c r="R453" s="8">
        <v>3941</v>
      </c>
      <c r="S453" s="8">
        <v>2943</v>
      </c>
      <c r="T453" s="8">
        <v>2522</v>
      </c>
      <c r="U453" s="7">
        <f t="shared" si="28"/>
        <v>26.002668316352008</v>
      </c>
      <c r="V453" s="7">
        <f t="shared" si="29"/>
        <v>66.986665871637584</v>
      </c>
      <c r="W453" s="7">
        <f t="shared" si="30"/>
        <v>7.0106658120104051</v>
      </c>
      <c r="X453" s="7">
        <f>SUM(I453:L453)/D453*100</f>
        <v>32.689111331400419</v>
      </c>
      <c r="Y453" s="7">
        <f t="shared" si="31"/>
        <v>49.283441262211539</v>
      </c>
    </row>
    <row r="454" spans="1:25" x14ac:dyDescent="0.25">
      <c r="A454" s="57">
        <v>8102</v>
      </c>
      <c r="B454" t="s">
        <v>76</v>
      </c>
      <c r="C454" t="s">
        <v>529</v>
      </c>
      <c r="D454" s="8">
        <v>128774</v>
      </c>
      <c r="E454" s="8">
        <v>11635</v>
      </c>
      <c r="F454" s="8">
        <v>10335</v>
      </c>
      <c r="G454" s="8">
        <v>9588</v>
      </c>
      <c r="H454" s="8">
        <v>11605</v>
      </c>
      <c r="I454" s="8">
        <v>12147</v>
      </c>
      <c r="J454" s="8">
        <v>11362</v>
      </c>
      <c r="K454" s="8">
        <v>11235</v>
      </c>
      <c r="L454" s="8">
        <v>10198</v>
      </c>
      <c r="M454" s="8">
        <v>8412</v>
      </c>
      <c r="N454" s="8">
        <v>6828</v>
      </c>
      <c r="O454" s="8">
        <v>5794</v>
      </c>
      <c r="P454" s="8">
        <v>5351</v>
      </c>
      <c r="Q454" s="8">
        <v>4549</v>
      </c>
      <c r="R454" s="8">
        <v>3817</v>
      </c>
      <c r="S454" s="8">
        <v>2680</v>
      </c>
      <c r="T454" s="8">
        <v>3238</v>
      </c>
      <c r="U454" s="7">
        <f t="shared" si="28"/>
        <v>24.506499759268173</v>
      </c>
      <c r="V454" s="7">
        <f t="shared" si="29"/>
        <v>67.933744389395372</v>
      </c>
      <c r="W454" s="7">
        <f t="shared" si="30"/>
        <v>7.5597558513364502</v>
      </c>
      <c r="X454" s="7">
        <f>SUM(I454:L454)/D454*100</f>
        <v>34.899902154161552</v>
      </c>
      <c r="Y454" s="7">
        <f t="shared" si="31"/>
        <v>47.202249631348522</v>
      </c>
    </row>
    <row r="455" spans="1:25" x14ac:dyDescent="0.25">
      <c r="A455" s="57">
        <v>8103</v>
      </c>
      <c r="B455" t="s">
        <v>76</v>
      </c>
      <c r="C455" t="s">
        <v>530</v>
      </c>
      <c r="D455" s="8">
        <v>450384</v>
      </c>
      <c r="E455" s="8">
        <v>39434</v>
      </c>
      <c r="F455" s="8">
        <v>32043</v>
      </c>
      <c r="G455" s="8">
        <v>31159</v>
      </c>
      <c r="H455" s="8">
        <v>38159</v>
      </c>
      <c r="I455" s="8">
        <v>42869</v>
      </c>
      <c r="J455" s="8">
        <v>41420</v>
      </c>
      <c r="K455" s="8">
        <v>37021</v>
      </c>
      <c r="L455" s="8">
        <v>33767</v>
      </c>
      <c r="M455" s="8">
        <v>30509</v>
      </c>
      <c r="N455" s="8">
        <v>27799</v>
      </c>
      <c r="O455" s="8">
        <v>24544</v>
      </c>
      <c r="P455" s="8">
        <v>20763</v>
      </c>
      <c r="Q455" s="8">
        <v>17503</v>
      </c>
      <c r="R455" s="8">
        <v>13460</v>
      </c>
      <c r="S455" s="8">
        <v>9500</v>
      </c>
      <c r="T455" s="8">
        <v>10434</v>
      </c>
      <c r="U455" s="7">
        <f t="shared" si="28"/>
        <v>22.788553767451774</v>
      </c>
      <c r="V455" s="7">
        <f t="shared" si="29"/>
        <v>69.796884436392062</v>
      </c>
      <c r="W455" s="7">
        <f t="shared" si="30"/>
        <v>7.4145617961561685</v>
      </c>
      <c r="X455" s="7">
        <f>SUM(I455:L455)/D455*100</f>
        <v>34.432173434225014</v>
      </c>
      <c r="Y455" s="7">
        <f t="shared" si="31"/>
        <v>43.272870712636077</v>
      </c>
    </row>
    <row r="456" spans="1:25" x14ac:dyDescent="0.25">
      <c r="A456" s="57">
        <v>8104</v>
      </c>
      <c r="B456" t="s">
        <v>76</v>
      </c>
      <c r="C456" t="s">
        <v>531</v>
      </c>
      <c r="D456" s="8">
        <v>145909</v>
      </c>
      <c r="E456" s="8">
        <v>13000</v>
      </c>
      <c r="F456" s="8">
        <v>13593</v>
      </c>
      <c r="G456" s="8">
        <v>11734</v>
      </c>
      <c r="H456" s="8">
        <v>12493</v>
      </c>
      <c r="I456" s="8">
        <v>12616</v>
      </c>
      <c r="J456" s="8">
        <v>13263</v>
      </c>
      <c r="K456" s="8">
        <v>12201</v>
      </c>
      <c r="L456" s="8">
        <v>10978</v>
      </c>
      <c r="M456" s="8">
        <v>10579</v>
      </c>
      <c r="N456" s="8">
        <v>9559</v>
      </c>
      <c r="O456" s="8">
        <v>8034</v>
      </c>
      <c r="P456" s="8">
        <v>6375</v>
      </c>
      <c r="Q456" s="8">
        <v>4488</v>
      </c>
      <c r="R456" s="8">
        <v>2886</v>
      </c>
      <c r="S456" s="8">
        <v>2000</v>
      </c>
      <c r="T456" s="8">
        <v>2110</v>
      </c>
      <c r="U456" s="7">
        <f t="shared" si="28"/>
        <v>26.267742222892348</v>
      </c>
      <c r="V456" s="7">
        <f t="shared" si="29"/>
        <v>68.937488434572231</v>
      </c>
      <c r="W456" s="7">
        <f t="shared" si="30"/>
        <v>4.7947693425354165</v>
      </c>
      <c r="X456" s="7">
        <f>SUM(I456:L456)/D456*100</f>
        <v>33.622326244440025</v>
      </c>
      <c r="Y456" s="7">
        <f t="shared" si="31"/>
        <v>45.058954526474857</v>
      </c>
    </row>
    <row r="457" spans="1:25" x14ac:dyDescent="0.25">
      <c r="A457" s="57">
        <v>8105</v>
      </c>
      <c r="B457" t="s">
        <v>76</v>
      </c>
      <c r="C457" t="s">
        <v>532</v>
      </c>
      <c r="D457" s="8">
        <v>112697</v>
      </c>
      <c r="E457" s="8">
        <v>11478</v>
      </c>
      <c r="F457" s="8">
        <v>10002</v>
      </c>
      <c r="G457" s="8">
        <v>9893</v>
      </c>
      <c r="H457" s="8">
        <v>10926</v>
      </c>
      <c r="I457" s="8">
        <v>10140</v>
      </c>
      <c r="J457" s="8">
        <v>9545</v>
      </c>
      <c r="K457" s="8">
        <v>9297</v>
      </c>
      <c r="L457" s="8">
        <v>8249</v>
      </c>
      <c r="M457" s="8">
        <v>7269</v>
      </c>
      <c r="N457" s="8">
        <v>6495</v>
      </c>
      <c r="O457" s="8">
        <v>5770</v>
      </c>
      <c r="P457" s="8">
        <v>4575</v>
      </c>
      <c r="Q457" s="8">
        <v>3373</v>
      </c>
      <c r="R457" s="8">
        <v>2398</v>
      </c>
      <c r="S457" s="8">
        <v>1617</v>
      </c>
      <c r="T457" s="8">
        <v>1670</v>
      </c>
      <c r="U457" s="7">
        <f t="shared" si="28"/>
        <v>27.838363044269148</v>
      </c>
      <c r="V457" s="7">
        <f t="shared" si="29"/>
        <v>67.117137102141143</v>
      </c>
      <c r="W457" s="7">
        <f t="shared" si="30"/>
        <v>5.0444998535897136</v>
      </c>
      <c r="X457" s="7">
        <f>SUM(I457:L457)/D457*100</f>
        <v>33.03637186437971</v>
      </c>
      <c r="Y457" s="7">
        <f t="shared" si="31"/>
        <v>48.99324422586232</v>
      </c>
    </row>
    <row r="458" spans="1:25" x14ac:dyDescent="0.25">
      <c r="A458" s="57">
        <v>8106</v>
      </c>
      <c r="B458" t="s">
        <v>76</v>
      </c>
      <c r="C458" t="s">
        <v>533</v>
      </c>
      <c r="D458" s="8">
        <v>233187</v>
      </c>
      <c r="E458" s="8">
        <v>24753</v>
      </c>
      <c r="F458" s="8">
        <v>20812</v>
      </c>
      <c r="G458" s="8">
        <v>18193</v>
      </c>
      <c r="H458" s="8">
        <v>21399</v>
      </c>
      <c r="I458" s="8">
        <v>22566</v>
      </c>
      <c r="J458" s="8">
        <v>21425</v>
      </c>
      <c r="K458" s="8">
        <v>18770</v>
      </c>
      <c r="L458" s="8">
        <v>16139</v>
      </c>
      <c r="M458" s="8">
        <v>14986</v>
      </c>
      <c r="N458" s="8">
        <v>13291</v>
      </c>
      <c r="O458" s="8">
        <v>11441</v>
      </c>
      <c r="P458" s="8">
        <v>9383</v>
      </c>
      <c r="Q458" s="8">
        <v>7505</v>
      </c>
      <c r="R458" s="8">
        <v>5478</v>
      </c>
      <c r="S458" s="8">
        <v>3414</v>
      </c>
      <c r="T458" s="8">
        <v>3632</v>
      </c>
      <c r="U458" s="7">
        <f t="shared" si="28"/>
        <v>27.342004485670302</v>
      </c>
      <c r="V458" s="7">
        <f t="shared" si="29"/>
        <v>67.287198686033094</v>
      </c>
      <c r="W458" s="7">
        <f t="shared" si="30"/>
        <v>5.3707968282966032</v>
      </c>
      <c r="X458" s="7">
        <f>SUM(I458:L458)/D458*100</f>
        <v>33.835505409821302</v>
      </c>
      <c r="Y458" s="7">
        <f t="shared" si="31"/>
        <v>48.616678882126131</v>
      </c>
    </row>
    <row r="459" spans="1:25" x14ac:dyDescent="0.25">
      <c r="A459" s="57">
        <v>8107</v>
      </c>
      <c r="B459" t="s">
        <v>76</v>
      </c>
      <c r="C459" t="s">
        <v>534</v>
      </c>
      <c r="D459" s="8">
        <v>151788</v>
      </c>
      <c r="E459" s="8">
        <v>14907</v>
      </c>
      <c r="F459" s="8">
        <v>13963</v>
      </c>
      <c r="G459" s="8">
        <v>12365</v>
      </c>
      <c r="H459" s="8">
        <v>14168</v>
      </c>
      <c r="I459" s="8">
        <v>14717</v>
      </c>
      <c r="J459" s="8">
        <v>14370</v>
      </c>
      <c r="K459" s="8">
        <v>12316</v>
      </c>
      <c r="L459" s="8">
        <v>11233</v>
      </c>
      <c r="M459" s="8">
        <v>10086</v>
      </c>
      <c r="N459" s="8">
        <v>8726</v>
      </c>
      <c r="O459" s="8">
        <v>7180</v>
      </c>
      <c r="P459" s="8">
        <v>6318</v>
      </c>
      <c r="Q459" s="8">
        <v>4376</v>
      </c>
      <c r="R459" s="8">
        <v>3100</v>
      </c>
      <c r="S459" s="8">
        <v>2038</v>
      </c>
      <c r="T459" s="8">
        <v>1925</v>
      </c>
      <c r="U459" s="7">
        <f t="shared" si="28"/>
        <v>27.166179144596409</v>
      </c>
      <c r="V459" s="7">
        <f t="shared" si="29"/>
        <v>68.180620338893718</v>
      </c>
      <c r="W459" s="7">
        <f t="shared" si="30"/>
        <v>4.6532005165098695</v>
      </c>
      <c r="X459" s="7">
        <f>SUM(I459:L459)/D459*100</f>
        <v>34.677313094579283</v>
      </c>
      <c r="Y459" s="7">
        <f t="shared" si="31"/>
        <v>46.669243405159918</v>
      </c>
    </row>
    <row r="460" spans="1:25" x14ac:dyDescent="0.25">
      <c r="A460" s="57">
        <v>8108</v>
      </c>
      <c r="B460" t="s">
        <v>76</v>
      </c>
      <c r="C460" t="s">
        <v>535</v>
      </c>
      <c r="D460" s="8">
        <v>89926</v>
      </c>
      <c r="E460" s="8">
        <v>9257</v>
      </c>
      <c r="F460" s="8">
        <v>8482</v>
      </c>
      <c r="G460" s="8">
        <v>7806</v>
      </c>
      <c r="H460" s="8">
        <v>8185</v>
      </c>
      <c r="I460" s="8">
        <v>6997</v>
      </c>
      <c r="J460" s="8">
        <v>6826</v>
      </c>
      <c r="K460" s="8">
        <v>7076</v>
      </c>
      <c r="L460" s="8">
        <v>6609</v>
      </c>
      <c r="M460" s="8">
        <v>6057</v>
      </c>
      <c r="N460" s="8">
        <v>5129</v>
      </c>
      <c r="O460" s="8">
        <v>4298</v>
      </c>
      <c r="P460" s="8">
        <v>3512</v>
      </c>
      <c r="Q460" s="8">
        <v>2977</v>
      </c>
      <c r="R460" s="8">
        <v>2627</v>
      </c>
      <c r="S460" s="8">
        <v>2019</v>
      </c>
      <c r="T460" s="8">
        <v>2069</v>
      </c>
      <c r="U460" s="7">
        <f t="shared" si="28"/>
        <v>28.406689945065942</v>
      </c>
      <c r="V460" s="7">
        <f t="shared" si="29"/>
        <v>64.126059204234593</v>
      </c>
      <c r="W460" s="7">
        <f t="shared" si="30"/>
        <v>7.4672508506994637</v>
      </c>
      <c r="X460" s="7">
        <f>SUM(I460:L460)/D460*100</f>
        <v>30.589595889953962</v>
      </c>
      <c r="Y460" s="7">
        <f t="shared" si="31"/>
        <v>55.942843269864397</v>
      </c>
    </row>
    <row r="461" spans="1:25" x14ac:dyDescent="0.25">
      <c r="A461" s="57">
        <v>8109</v>
      </c>
      <c r="B461" t="s">
        <v>76</v>
      </c>
      <c r="C461" t="s">
        <v>536</v>
      </c>
      <c r="D461" s="8">
        <v>83587</v>
      </c>
      <c r="E461" s="8">
        <v>9162</v>
      </c>
      <c r="F461" s="8">
        <v>8067</v>
      </c>
      <c r="G461" s="8">
        <v>7246</v>
      </c>
      <c r="H461" s="8">
        <v>8169</v>
      </c>
      <c r="I461" s="8">
        <v>7654</v>
      </c>
      <c r="J461" s="8">
        <v>7466</v>
      </c>
      <c r="K461" s="8">
        <v>7095</v>
      </c>
      <c r="L461" s="8">
        <v>6541</v>
      </c>
      <c r="M461" s="8">
        <v>5688</v>
      </c>
      <c r="N461" s="8">
        <v>4688</v>
      </c>
      <c r="O461" s="8">
        <v>3565</v>
      </c>
      <c r="P461" s="8">
        <v>2886</v>
      </c>
      <c r="Q461" s="8">
        <v>2088</v>
      </c>
      <c r="R461" s="8">
        <v>1358</v>
      </c>
      <c r="S461" s="8">
        <v>974</v>
      </c>
      <c r="T461" s="8">
        <v>940</v>
      </c>
      <c r="U461" s="7">
        <f t="shared" si="28"/>
        <v>29.280869034658501</v>
      </c>
      <c r="V461" s="7">
        <f t="shared" si="29"/>
        <v>66.804646655580413</v>
      </c>
      <c r="W461" s="7">
        <f t="shared" si="30"/>
        <v>3.9144843097610869</v>
      </c>
      <c r="X461" s="7">
        <f>SUM(I461:L461)/D461*100</f>
        <v>34.40247885436731</v>
      </c>
      <c r="Y461" s="7">
        <f t="shared" si="31"/>
        <v>49.690186246418335</v>
      </c>
    </row>
    <row r="462" spans="1:25" x14ac:dyDescent="0.25">
      <c r="A462" s="57">
        <v>8171</v>
      </c>
      <c r="B462" t="s">
        <v>76</v>
      </c>
      <c r="C462" t="s">
        <v>537</v>
      </c>
      <c r="D462" s="8">
        <v>369797</v>
      </c>
      <c r="E462" s="8">
        <v>32801</v>
      </c>
      <c r="F462" s="8">
        <v>28072</v>
      </c>
      <c r="G462" s="8">
        <v>25107</v>
      </c>
      <c r="H462" s="8">
        <v>27428</v>
      </c>
      <c r="I462" s="8">
        <v>27706</v>
      </c>
      <c r="J462" s="8">
        <v>31781</v>
      </c>
      <c r="K462" s="8">
        <v>34109</v>
      </c>
      <c r="L462" s="8">
        <v>30639</v>
      </c>
      <c r="M462" s="8">
        <v>26735</v>
      </c>
      <c r="N462" s="8">
        <v>24567</v>
      </c>
      <c r="O462" s="8">
        <v>21986</v>
      </c>
      <c r="P462" s="8">
        <v>18387</v>
      </c>
      <c r="Q462" s="8">
        <v>15166</v>
      </c>
      <c r="R462" s="8">
        <v>11132</v>
      </c>
      <c r="S462" s="8">
        <v>7316</v>
      </c>
      <c r="T462" s="8">
        <v>6865</v>
      </c>
      <c r="U462" s="7">
        <f t="shared" si="28"/>
        <v>23.250594244950609</v>
      </c>
      <c r="V462" s="7">
        <f t="shared" si="29"/>
        <v>69.904298845042007</v>
      </c>
      <c r="W462" s="7">
        <f t="shared" si="30"/>
        <v>6.8451069100073827</v>
      </c>
      <c r="X462" s="7">
        <f>SUM(I462:L462)/D462*100</f>
        <v>33.595459130279586</v>
      </c>
      <c r="Y462" s="7">
        <f t="shared" si="31"/>
        <v>43.052718720019804</v>
      </c>
    </row>
    <row r="463" spans="1:25" x14ac:dyDescent="0.25">
      <c r="A463" s="57">
        <v>8172</v>
      </c>
      <c r="B463" t="s">
        <v>76</v>
      </c>
      <c r="C463" t="s">
        <v>538</v>
      </c>
      <c r="D463" s="8">
        <v>94992</v>
      </c>
      <c r="E463" s="8">
        <v>9105</v>
      </c>
      <c r="F463" s="8">
        <v>7761</v>
      </c>
      <c r="G463" s="8">
        <v>6393</v>
      </c>
      <c r="H463" s="8">
        <v>7832</v>
      </c>
      <c r="I463" s="8">
        <v>8441</v>
      </c>
      <c r="J463" s="8">
        <v>7910</v>
      </c>
      <c r="K463" s="8">
        <v>8570</v>
      </c>
      <c r="L463" s="8">
        <v>8489</v>
      </c>
      <c r="M463" s="8">
        <v>7320</v>
      </c>
      <c r="N463" s="8">
        <v>5955</v>
      </c>
      <c r="O463" s="8">
        <v>4821</v>
      </c>
      <c r="P463" s="8">
        <v>3894</v>
      </c>
      <c r="Q463" s="8">
        <v>3054</v>
      </c>
      <c r="R463" s="8">
        <v>2220</v>
      </c>
      <c r="S463" s="8">
        <v>1449</v>
      </c>
      <c r="T463" s="8">
        <v>1778</v>
      </c>
      <c r="U463" s="7">
        <f t="shared" si="28"/>
        <v>24.485219807983828</v>
      </c>
      <c r="V463" s="7">
        <f t="shared" si="29"/>
        <v>69.78061310426142</v>
      </c>
      <c r="W463" s="7">
        <f t="shared" si="30"/>
        <v>5.7341670877547584</v>
      </c>
      <c r="X463" s="7">
        <f>SUM(I463:L463)/D463*100</f>
        <v>35.171382853292911</v>
      </c>
      <c r="Y463" s="7">
        <f t="shared" si="31"/>
        <v>43.306278852246329</v>
      </c>
    </row>
    <row r="464" spans="1:25" x14ac:dyDescent="0.25">
      <c r="A464" s="57">
        <v>8201</v>
      </c>
      <c r="B464" t="s">
        <v>77</v>
      </c>
      <c r="C464" t="s">
        <v>539</v>
      </c>
      <c r="D464" s="8">
        <v>140416</v>
      </c>
      <c r="E464" s="8">
        <v>11428</v>
      </c>
      <c r="F464" s="8">
        <v>11139</v>
      </c>
      <c r="G464" s="8">
        <v>10169</v>
      </c>
      <c r="H464" s="8">
        <v>11120</v>
      </c>
      <c r="I464" s="8">
        <v>11779</v>
      </c>
      <c r="J464" s="8">
        <v>10939</v>
      </c>
      <c r="K464" s="8">
        <v>11025</v>
      </c>
      <c r="L464" s="8">
        <v>11951</v>
      </c>
      <c r="M464" s="8">
        <v>11067</v>
      </c>
      <c r="N464" s="8">
        <v>10116</v>
      </c>
      <c r="O464" s="8">
        <v>8639</v>
      </c>
      <c r="P464" s="8">
        <v>6718</v>
      </c>
      <c r="Q464" s="8">
        <v>5237</v>
      </c>
      <c r="R464" s="8">
        <v>3917</v>
      </c>
      <c r="S464" s="8">
        <v>2750</v>
      </c>
      <c r="T464" s="8">
        <v>2422</v>
      </c>
      <c r="U464" s="7">
        <f t="shared" si="28"/>
        <v>23.313582497721058</v>
      </c>
      <c r="V464" s="7">
        <f t="shared" si="29"/>
        <v>70.213508432087508</v>
      </c>
      <c r="W464" s="7">
        <f t="shared" si="30"/>
        <v>6.4729090701914309</v>
      </c>
      <c r="X464" s="7">
        <f>SUM(I464:L464)/D464*100</f>
        <v>32.541875569735645</v>
      </c>
      <c r="Y464" s="7">
        <f t="shared" si="31"/>
        <v>42.422736355245405</v>
      </c>
    </row>
    <row r="465" spans="1:25" x14ac:dyDescent="0.25">
      <c r="A465" s="57">
        <v>8202</v>
      </c>
      <c r="B465" t="s">
        <v>77</v>
      </c>
      <c r="C465" t="s">
        <v>540</v>
      </c>
      <c r="D465" s="8">
        <v>64429</v>
      </c>
      <c r="E465" s="8">
        <v>5862</v>
      </c>
      <c r="F465" s="8">
        <v>6209</v>
      </c>
      <c r="G465" s="8">
        <v>6005</v>
      </c>
      <c r="H465" s="8">
        <v>5920</v>
      </c>
      <c r="I465" s="8">
        <v>4946</v>
      </c>
      <c r="J465" s="8">
        <v>4665</v>
      </c>
      <c r="K465" s="8">
        <v>5279</v>
      </c>
      <c r="L465" s="8">
        <v>5538</v>
      </c>
      <c r="M465" s="8">
        <v>4866</v>
      </c>
      <c r="N465" s="8">
        <v>4183</v>
      </c>
      <c r="O465" s="8">
        <v>3354</v>
      </c>
      <c r="P465" s="8">
        <v>2723</v>
      </c>
      <c r="Q465" s="8">
        <v>1953</v>
      </c>
      <c r="R465" s="8">
        <v>1360</v>
      </c>
      <c r="S465" s="8">
        <v>880</v>
      </c>
      <c r="T465" s="8">
        <v>686</v>
      </c>
      <c r="U465" s="7">
        <f t="shared" si="28"/>
        <v>28.055689208275776</v>
      </c>
      <c r="V465" s="7">
        <f t="shared" si="29"/>
        <v>67.402877586180125</v>
      </c>
      <c r="W465" s="7">
        <f t="shared" si="30"/>
        <v>4.541433205544088</v>
      </c>
      <c r="X465" s="7">
        <f>SUM(I465:L465)/D465*100</f>
        <v>31.706219249095902</v>
      </c>
      <c r="Y465" s="7">
        <f t="shared" si="31"/>
        <v>48.36161834803233</v>
      </c>
    </row>
    <row r="466" spans="1:25" x14ac:dyDescent="0.25">
      <c r="A466" s="57">
        <v>8203</v>
      </c>
      <c r="B466" t="s">
        <v>77</v>
      </c>
      <c r="C466" t="s">
        <v>541</v>
      </c>
      <c r="D466" s="8">
        <v>111795</v>
      </c>
      <c r="E466" s="8">
        <v>9953</v>
      </c>
      <c r="F466" s="8">
        <v>9751</v>
      </c>
      <c r="G466" s="8">
        <v>9794</v>
      </c>
      <c r="H466" s="8">
        <v>9867</v>
      </c>
      <c r="I466" s="8">
        <v>9956</v>
      </c>
      <c r="J466" s="8">
        <v>8714</v>
      </c>
      <c r="K466" s="8">
        <v>8659</v>
      </c>
      <c r="L466" s="8">
        <v>9680</v>
      </c>
      <c r="M466" s="8">
        <v>7826</v>
      </c>
      <c r="N466" s="8">
        <v>6781</v>
      </c>
      <c r="O466" s="8">
        <v>5852</v>
      </c>
      <c r="P466" s="8">
        <v>4565</v>
      </c>
      <c r="Q466" s="8">
        <v>3903</v>
      </c>
      <c r="R466" s="8">
        <v>2849</v>
      </c>
      <c r="S466" s="8">
        <v>2055</v>
      </c>
      <c r="T466" s="8">
        <v>1590</v>
      </c>
      <c r="U466" s="7">
        <f t="shared" si="28"/>
        <v>26.385795429133687</v>
      </c>
      <c r="V466" s="7">
        <f t="shared" si="29"/>
        <v>67.80535802137841</v>
      </c>
      <c r="W466" s="7">
        <f t="shared" si="30"/>
        <v>5.8088465494879022</v>
      </c>
      <c r="X466" s="7">
        <f>SUM(I466:L466)/D466*100</f>
        <v>33.104342770249119</v>
      </c>
      <c r="Y466" s="7">
        <f t="shared" si="31"/>
        <v>47.480970410142085</v>
      </c>
    </row>
    <row r="467" spans="1:25" x14ac:dyDescent="0.25">
      <c r="A467" s="57">
        <v>8204</v>
      </c>
      <c r="B467" t="s">
        <v>77</v>
      </c>
      <c r="C467" t="s">
        <v>542</v>
      </c>
      <c r="D467" s="8">
        <v>273020</v>
      </c>
      <c r="E467" s="8">
        <v>27802</v>
      </c>
      <c r="F467" s="8">
        <v>20750</v>
      </c>
      <c r="G467" s="8">
        <v>21778</v>
      </c>
      <c r="H467" s="8">
        <v>25046</v>
      </c>
      <c r="I467" s="8">
        <v>26218</v>
      </c>
      <c r="J467" s="8">
        <v>22873</v>
      </c>
      <c r="K467" s="8">
        <v>21796</v>
      </c>
      <c r="L467" s="8">
        <v>22892</v>
      </c>
      <c r="M467" s="8">
        <v>19336</v>
      </c>
      <c r="N467" s="8">
        <v>16425</v>
      </c>
      <c r="O467" s="8">
        <v>14239</v>
      </c>
      <c r="P467" s="8">
        <v>11232</v>
      </c>
      <c r="Q467" s="8">
        <v>8961</v>
      </c>
      <c r="R467" s="8">
        <v>6414</v>
      </c>
      <c r="S467" s="8">
        <v>4152</v>
      </c>
      <c r="T467" s="8">
        <v>3106</v>
      </c>
      <c r="U467" s="7">
        <f t="shared" si="28"/>
        <v>25.760017581129585</v>
      </c>
      <c r="V467" s="7">
        <f t="shared" si="29"/>
        <v>69.232290674675852</v>
      </c>
      <c r="W467" s="7">
        <f t="shared" si="30"/>
        <v>5.007691744194565</v>
      </c>
      <c r="X467" s="7">
        <f>SUM(I467:L467)/D467*100</f>
        <v>34.348765658193535</v>
      </c>
      <c r="Y467" s="7">
        <f t="shared" si="31"/>
        <v>44.441270143584212</v>
      </c>
    </row>
    <row r="468" spans="1:25" x14ac:dyDescent="0.25">
      <c r="A468" s="57">
        <v>8205</v>
      </c>
      <c r="B468" t="s">
        <v>77</v>
      </c>
      <c r="C468" t="s">
        <v>543</v>
      </c>
      <c r="D468" s="8">
        <v>212742</v>
      </c>
      <c r="E468" s="8">
        <v>18238</v>
      </c>
      <c r="F468" s="8">
        <v>19076</v>
      </c>
      <c r="G468" s="8">
        <v>19346</v>
      </c>
      <c r="H468" s="8">
        <v>19810</v>
      </c>
      <c r="I468" s="8">
        <v>17861</v>
      </c>
      <c r="J468" s="8">
        <v>16098</v>
      </c>
      <c r="K468" s="8">
        <v>16032</v>
      </c>
      <c r="L468" s="8">
        <v>16473</v>
      </c>
      <c r="M468" s="8">
        <v>15460</v>
      </c>
      <c r="N468" s="8">
        <v>13665</v>
      </c>
      <c r="O468" s="8">
        <v>11628</v>
      </c>
      <c r="P468" s="8">
        <v>9226</v>
      </c>
      <c r="Q468" s="8">
        <v>7345</v>
      </c>
      <c r="R468" s="8">
        <v>5515</v>
      </c>
      <c r="S468" s="8">
        <v>4006</v>
      </c>
      <c r="T468" s="8">
        <v>2963</v>
      </c>
      <c r="U468" s="7">
        <f t="shared" si="28"/>
        <v>26.633198898195936</v>
      </c>
      <c r="V468" s="7">
        <f t="shared" si="29"/>
        <v>67.498660349155315</v>
      </c>
      <c r="W468" s="7">
        <f t="shared" si="30"/>
        <v>5.8681407526487481</v>
      </c>
      <c r="X468" s="7">
        <f>SUM(I468:L468)/D468*100</f>
        <v>31.241597803912718</v>
      </c>
      <c r="Y468" s="7">
        <f t="shared" si="31"/>
        <v>48.151088455270965</v>
      </c>
    </row>
    <row r="469" spans="1:25" x14ac:dyDescent="0.25">
      <c r="A469" s="57">
        <v>8206</v>
      </c>
      <c r="B469" t="s">
        <v>77</v>
      </c>
      <c r="C469" t="s">
        <v>544</v>
      </c>
      <c r="D469" s="8">
        <v>101451</v>
      </c>
      <c r="E469" s="8">
        <v>9601</v>
      </c>
      <c r="F469" s="8">
        <v>8997</v>
      </c>
      <c r="G469" s="8">
        <v>8750</v>
      </c>
      <c r="H469" s="8">
        <v>8722</v>
      </c>
      <c r="I469" s="8">
        <v>8295</v>
      </c>
      <c r="J469" s="8">
        <v>7171</v>
      </c>
      <c r="K469" s="8">
        <v>7797</v>
      </c>
      <c r="L469" s="8">
        <v>8739</v>
      </c>
      <c r="M469" s="8">
        <v>8313</v>
      </c>
      <c r="N469" s="8">
        <v>7086</v>
      </c>
      <c r="O469" s="8">
        <v>5548</v>
      </c>
      <c r="P469" s="8">
        <v>4237</v>
      </c>
      <c r="Q469" s="8">
        <v>3073</v>
      </c>
      <c r="R469" s="8">
        <v>2261</v>
      </c>
      <c r="S469" s="8">
        <v>1584</v>
      </c>
      <c r="T469" s="8">
        <v>1277</v>
      </c>
      <c r="U469" s="7">
        <f t="shared" si="28"/>
        <v>26.956856019161961</v>
      </c>
      <c r="V469" s="7">
        <f>SUM(H469:Q469)/D469*100</f>
        <v>67.99440123803609</v>
      </c>
      <c r="W469" s="7">
        <f t="shared" si="30"/>
        <v>5.0487427428019442</v>
      </c>
      <c r="X469" s="7">
        <f>SUM(I469:L469)/D469*100</f>
        <v>31.544292318459156</v>
      </c>
      <c r="Y469" s="7">
        <f t="shared" si="31"/>
        <v>47.070932575636768</v>
      </c>
    </row>
    <row r="470" spans="1:25" x14ac:dyDescent="0.25">
      <c r="A470" s="57">
        <v>8207</v>
      </c>
      <c r="B470" t="s">
        <v>77</v>
      </c>
      <c r="C470" t="s">
        <v>545</v>
      </c>
      <c r="D470" s="8">
        <v>82247</v>
      </c>
      <c r="E470" s="8">
        <v>8047</v>
      </c>
      <c r="F470" s="8">
        <v>9356</v>
      </c>
      <c r="G470" s="8">
        <v>7688</v>
      </c>
      <c r="H470" s="8">
        <v>7188</v>
      </c>
      <c r="I470" s="8">
        <v>6614</v>
      </c>
      <c r="J470" s="8">
        <v>5779</v>
      </c>
      <c r="K470" s="8">
        <v>6144</v>
      </c>
      <c r="L470" s="8">
        <v>7171</v>
      </c>
      <c r="M470" s="8">
        <v>5951</v>
      </c>
      <c r="N470" s="8">
        <v>4721</v>
      </c>
      <c r="O470" s="8">
        <v>3848</v>
      </c>
      <c r="P470" s="8">
        <v>2994</v>
      </c>
      <c r="Q470" s="8">
        <v>2377</v>
      </c>
      <c r="R470" s="8">
        <v>1818</v>
      </c>
      <c r="S470" s="8">
        <v>1419</v>
      </c>
      <c r="T470" s="8">
        <v>1132</v>
      </c>
      <c r="U470" s="7">
        <f t="shared" si="28"/>
        <v>30.506887789220276</v>
      </c>
      <c r="V470" s="7">
        <f t="shared" si="29"/>
        <v>64.181064354930882</v>
      </c>
      <c r="W470" s="7">
        <f t="shared" si="30"/>
        <v>5.3120478558488458</v>
      </c>
      <c r="X470" s="7">
        <f>SUM(I470:L470)/D470*100</f>
        <v>31.257067127068467</v>
      </c>
      <c r="Y470" s="7">
        <f t="shared" si="31"/>
        <v>55.809195445848417</v>
      </c>
    </row>
    <row r="471" spans="1:25" x14ac:dyDescent="0.25">
      <c r="A471" s="57">
        <v>8208</v>
      </c>
      <c r="B471" t="s">
        <v>77</v>
      </c>
      <c r="C471" t="s">
        <v>546</v>
      </c>
      <c r="D471" s="8">
        <v>63085</v>
      </c>
      <c r="E471" s="8">
        <v>5559</v>
      </c>
      <c r="F471" s="8">
        <v>6203</v>
      </c>
      <c r="G471" s="8">
        <v>5982</v>
      </c>
      <c r="H471" s="8">
        <v>6032</v>
      </c>
      <c r="I471" s="8">
        <v>5545</v>
      </c>
      <c r="J471" s="8">
        <v>4820</v>
      </c>
      <c r="K471" s="8">
        <v>4830</v>
      </c>
      <c r="L471" s="8">
        <v>5353</v>
      </c>
      <c r="M471" s="8">
        <v>4721</v>
      </c>
      <c r="N471" s="8">
        <v>3703</v>
      </c>
      <c r="O471" s="8">
        <v>3086</v>
      </c>
      <c r="P471" s="8">
        <v>2400</v>
      </c>
      <c r="Q471" s="8">
        <v>1835</v>
      </c>
      <c r="R471" s="8">
        <v>1344</v>
      </c>
      <c r="S471" s="8">
        <v>922</v>
      </c>
      <c r="T471" s="8">
        <v>750</v>
      </c>
      <c r="U471" s="7">
        <f t="shared" si="28"/>
        <v>28.127130062613929</v>
      </c>
      <c r="V471" s="7">
        <f t="shared" si="29"/>
        <v>67.092018704921927</v>
      </c>
      <c r="W471" s="7">
        <f t="shared" si="30"/>
        <v>4.7808512324641361</v>
      </c>
      <c r="X471" s="7">
        <f>SUM(I471:L471)/D471*100</f>
        <v>32.571926765475148</v>
      </c>
      <c r="Y471" s="7">
        <f t="shared" si="31"/>
        <v>49.049025398700529</v>
      </c>
    </row>
    <row r="472" spans="1:25" x14ac:dyDescent="0.25">
      <c r="A472" s="57">
        <v>8271</v>
      </c>
      <c r="B472" t="s">
        <v>77</v>
      </c>
      <c r="C472" t="s">
        <v>547</v>
      </c>
      <c r="D472" s="8">
        <v>219069</v>
      </c>
      <c r="E472" s="8">
        <v>17024</v>
      </c>
      <c r="F472" s="8">
        <v>20303</v>
      </c>
      <c r="G472" s="8">
        <v>18797</v>
      </c>
      <c r="H472" s="8">
        <v>17791</v>
      </c>
      <c r="I472" s="8">
        <v>16928</v>
      </c>
      <c r="J472" s="8">
        <v>15724</v>
      </c>
      <c r="K472" s="8">
        <v>16982</v>
      </c>
      <c r="L472" s="8">
        <v>20060</v>
      </c>
      <c r="M472" s="8">
        <v>18056</v>
      </c>
      <c r="N472" s="8">
        <v>15447</v>
      </c>
      <c r="O472" s="8">
        <v>12619</v>
      </c>
      <c r="P472" s="8">
        <v>9923</v>
      </c>
      <c r="Q472" s="8">
        <v>8009</v>
      </c>
      <c r="R472" s="8">
        <v>5344</v>
      </c>
      <c r="S472" s="8">
        <v>3391</v>
      </c>
      <c r="T472" s="8">
        <v>2671</v>
      </c>
      <c r="U472" s="7">
        <f t="shared" si="28"/>
        <v>25.619325418018978</v>
      </c>
      <c r="V472" s="7">
        <f t="shared" si="29"/>
        <v>69.174095832819788</v>
      </c>
      <c r="W472" s="7">
        <f t="shared" si="30"/>
        <v>5.2065787491612232</v>
      </c>
      <c r="X472" s="7">
        <f>SUM(I472:L472)/D472*100</f>
        <v>31.813720791166254</v>
      </c>
      <c r="Y472" s="7">
        <f t="shared" si="31"/>
        <v>44.562785817512321</v>
      </c>
    </row>
    <row r="473" spans="1:25" x14ac:dyDescent="0.25">
      <c r="A473" s="57">
        <v>8272</v>
      </c>
      <c r="B473" t="s">
        <v>77</v>
      </c>
      <c r="C473" t="s">
        <v>548</v>
      </c>
      <c r="D473" s="8">
        <v>123454</v>
      </c>
      <c r="E473" s="8">
        <v>9553</v>
      </c>
      <c r="F473" s="8">
        <v>10280</v>
      </c>
      <c r="G473" s="8">
        <v>9452</v>
      </c>
      <c r="H473" s="8">
        <v>9896</v>
      </c>
      <c r="I473" s="8">
        <v>10130</v>
      </c>
      <c r="J473" s="8">
        <v>9167</v>
      </c>
      <c r="K473" s="8">
        <v>9495</v>
      </c>
      <c r="L473" s="8">
        <v>10830</v>
      </c>
      <c r="M473" s="8">
        <v>9894</v>
      </c>
      <c r="N473" s="8">
        <v>8897</v>
      </c>
      <c r="O473" s="8">
        <v>7442</v>
      </c>
      <c r="P473" s="8">
        <v>5997</v>
      </c>
      <c r="Q473" s="8">
        <v>4908</v>
      </c>
      <c r="R473" s="8">
        <v>3361</v>
      </c>
      <c r="S473" s="8">
        <v>2299</v>
      </c>
      <c r="T473" s="8">
        <v>1853</v>
      </c>
      <c r="U473" s="7">
        <f t="shared" si="28"/>
        <v>23.721386103325933</v>
      </c>
      <c r="V473" s="7">
        <f t="shared" si="29"/>
        <v>70.192946360587754</v>
      </c>
      <c r="W473" s="7">
        <f t="shared" si="30"/>
        <v>6.0856675360863157</v>
      </c>
      <c r="X473" s="7">
        <f>SUM(I473:L473)/D473*100</f>
        <v>32.094545336724615</v>
      </c>
      <c r="Y473" s="7">
        <f t="shared" si="31"/>
        <v>42.464457163958642</v>
      </c>
    </row>
    <row r="474" spans="1:25" x14ac:dyDescent="0.25">
      <c r="A474" s="57">
        <v>9101</v>
      </c>
      <c r="B474" t="s">
        <v>78</v>
      </c>
      <c r="C474" t="s">
        <v>549</v>
      </c>
      <c r="D474" s="8">
        <v>92700</v>
      </c>
      <c r="E474" s="8">
        <v>8388</v>
      </c>
      <c r="F474" s="8">
        <v>9377</v>
      </c>
      <c r="G474" s="8">
        <v>8482</v>
      </c>
      <c r="H474" s="8">
        <v>8424</v>
      </c>
      <c r="I474" s="8">
        <v>8518</v>
      </c>
      <c r="J474" s="8">
        <v>7840</v>
      </c>
      <c r="K474" s="8">
        <v>7031</v>
      </c>
      <c r="L474" s="8">
        <v>6697</v>
      </c>
      <c r="M474" s="8">
        <v>6606</v>
      </c>
      <c r="N474" s="8">
        <v>5494</v>
      </c>
      <c r="O474" s="8">
        <v>4793</v>
      </c>
      <c r="P474" s="8">
        <v>3785</v>
      </c>
      <c r="Q474" s="8">
        <v>3092</v>
      </c>
      <c r="R474" s="8">
        <v>2078</v>
      </c>
      <c r="S474" s="8">
        <v>1272</v>
      </c>
      <c r="T474" s="8">
        <v>823</v>
      </c>
      <c r="U474" s="7">
        <f t="shared" si="28"/>
        <v>28.313915857605178</v>
      </c>
      <c r="V474" s="7">
        <f t="shared" si="29"/>
        <v>67.184466019417471</v>
      </c>
      <c r="W474" s="7">
        <f t="shared" si="30"/>
        <v>4.5016181229773462</v>
      </c>
      <c r="X474" s="7">
        <f>SUM(I474:L474)/D474*100</f>
        <v>32.455231930960089</v>
      </c>
      <c r="Y474" s="7">
        <f t="shared" si="31"/>
        <v>48.843930635838149</v>
      </c>
    </row>
    <row r="475" spans="1:25" x14ac:dyDescent="0.25">
      <c r="A475" s="57">
        <v>9102</v>
      </c>
      <c r="B475" t="s">
        <v>78</v>
      </c>
      <c r="C475" t="s">
        <v>550</v>
      </c>
      <c r="D475" s="8">
        <v>68923</v>
      </c>
      <c r="E475" s="8">
        <v>7133</v>
      </c>
      <c r="F475" s="8">
        <v>5620</v>
      </c>
      <c r="G475" s="8">
        <v>5417</v>
      </c>
      <c r="H475" s="8">
        <v>6608</v>
      </c>
      <c r="I475" s="8">
        <v>6967</v>
      </c>
      <c r="J475" s="8">
        <v>6246</v>
      </c>
      <c r="K475" s="8">
        <v>5328</v>
      </c>
      <c r="L475" s="8">
        <v>5111</v>
      </c>
      <c r="M475" s="8">
        <v>4964</v>
      </c>
      <c r="N475" s="8">
        <v>4326</v>
      </c>
      <c r="O475" s="8">
        <v>3814</v>
      </c>
      <c r="P475" s="8">
        <v>2930</v>
      </c>
      <c r="Q475" s="8">
        <v>2052</v>
      </c>
      <c r="R475" s="8">
        <v>1241</v>
      </c>
      <c r="S475" s="8">
        <v>700</v>
      </c>
      <c r="T475" s="8">
        <v>466</v>
      </c>
      <c r="U475" s="7">
        <f t="shared" si="28"/>
        <v>26.362752637000714</v>
      </c>
      <c r="V475" s="7">
        <f t="shared" si="29"/>
        <v>70.144944358196824</v>
      </c>
      <c r="W475" s="7">
        <f t="shared" si="30"/>
        <v>3.4923030048024604</v>
      </c>
      <c r="X475" s="7">
        <f>SUM(I475:L475)/D475*100</f>
        <v>34.31655615687071</v>
      </c>
      <c r="Y475" s="7">
        <f t="shared" si="31"/>
        <v>42.561949282257061</v>
      </c>
    </row>
    <row r="476" spans="1:25" x14ac:dyDescent="0.25">
      <c r="A476" s="57">
        <v>9103</v>
      </c>
      <c r="B476" t="s">
        <v>78</v>
      </c>
      <c r="C476" t="s">
        <v>551</v>
      </c>
      <c r="D476" s="8">
        <v>47619</v>
      </c>
      <c r="E476" s="8">
        <v>6402</v>
      </c>
      <c r="F476" s="8">
        <v>4718</v>
      </c>
      <c r="G476" s="8">
        <v>3977</v>
      </c>
      <c r="H476" s="8">
        <v>4722</v>
      </c>
      <c r="I476" s="8">
        <v>4408</v>
      </c>
      <c r="J476" s="8">
        <v>3880</v>
      </c>
      <c r="K476" s="8">
        <v>3534</v>
      </c>
      <c r="L476" s="8">
        <v>3346</v>
      </c>
      <c r="M476" s="8">
        <v>3208</v>
      </c>
      <c r="N476" s="8">
        <v>2697</v>
      </c>
      <c r="O476" s="8">
        <v>2146</v>
      </c>
      <c r="P476" s="8">
        <v>1540</v>
      </c>
      <c r="Q476" s="8">
        <v>1248</v>
      </c>
      <c r="R476" s="8">
        <v>896</v>
      </c>
      <c r="S476" s="8">
        <v>528</v>
      </c>
      <c r="T476" s="8">
        <v>369</v>
      </c>
      <c r="U476" s="7">
        <f t="shared" si="28"/>
        <v>31.703731703731702</v>
      </c>
      <c r="V476" s="7">
        <f t="shared" si="29"/>
        <v>64.530964530964525</v>
      </c>
      <c r="W476" s="7">
        <f t="shared" si="30"/>
        <v>3.7653037653037651</v>
      </c>
      <c r="X476" s="7">
        <f>SUM(I476:L476)/D476*100</f>
        <v>31.852831852831855</v>
      </c>
      <c r="Y476" s="7">
        <f t="shared" si="31"/>
        <v>54.964365908425265</v>
      </c>
    </row>
    <row r="477" spans="1:25" x14ac:dyDescent="0.25">
      <c r="A477" s="57">
        <v>9104</v>
      </c>
      <c r="B477" t="s">
        <v>78</v>
      </c>
      <c r="C477" t="s">
        <v>552</v>
      </c>
      <c r="D477" s="8">
        <v>92923</v>
      </c>
      <c r="E477" s="8">
        <v>7916</v>
      </c>
      <c r="F477" s="8">
        <v>7223</v>
      </c>
      <c r="G477" s="8">
        <v>6671</v>
      </c>
      <c r="H477" s="8">
        <v>7477</v>
      </c>
      <c r="I477" s="8">
        <v>7840</v>
      </c>
      <c r="J477" s="8">
        <v>8235</v>
      </c>
      <c r="K477" s="8">
        <v>8780</v>
      </c>
      <c r="L477" s="8">
        <v>8495</v>
      </c>
      <c r="M477" s="8">
        <v>8032</v>
      </c>
      <c r="N477" s="8">
        <v>6920</v>
      </c>
      <c r="O477" s="8">
        <v>5730</v>
      </c>
      <c r="P477" s="8">
        <v>4057</v>
      </c>
      <c r="Q477" s="8">
        <v>2573</v>
      </c>
      <c r="R477" s="8">
        <v>1476</v>
      </c>
      <c r="S477" s="8">
        <v>847</v>
      </c>
      <c r="T477" s="8">
        <v>651</v>
      </c>
      <c r="U477" s="7">
        <f t="shared" si="28"/>
        <v>23.47104591974</v>
      </c>
      <c r="V477" s="7">
        <f t="shared" si="29"/>
        <v>73.328454742098288</v>
      </c>
      <c r="W477" s="7">
        <f t="shared" si="30"/>
        <v>3.2004993381617037</v>
      </c>
      <c r="X477" s="7">
        <f>SUM(I477:L477)/D477*100</f>
        <v>35.88993037245892</v>
      </c>
      <c r="Y477" s="7">
        <f t="shared" si="31"/>
        <v>36.372708727747693</v>
      </c>
    </row>
    <row r="478" spans="1:25" x14ac:dyDescent="0.25">
      <c r="A478" s="57">
        <v>9105</v>
      </c>
      <c r="B478" t="s">
        <v>78</v>
      </c>
      <c r="C478" t="s">
        <v>553</v>
      </c>
      <c r="D478" s="8">
        <v>211063</v>
      </c>
      <c r="E478" s="8">
        <v>18803</v>
      </c>
      <c r="F478" s="8">
        <v>18777</v>
      </c>
      <c r="G478" s="8">
        <v>17708</v>
      </c>
      <c r="H478" s="8">
        <v>17623</v>
      </c>
      <c r="I478" s="8">
        <v>17139</v>
      </c>
      <c r="J478" s="8">
        <v>19331</v>
      </c>
      <c r="K478" s="8">
        <v>19062</v>
      </c>
      <c r="L478" s="8">
        <v>17480</v>
      </c>
      <c r="M478" s="8">
        <v>15492</v>
      </c>
      <c r="N478" s="8">
        <v>13599</v>
      </c>
      <c r="O478" s="8">
        <v>11109</v>
      </c>
      <c r="P478" s="8">
        <v>8641</v>
      </c>
      <c r="Q478" s="8">
        <v>6582</v>
      </c>
      <c r="R478" s="8">
        <v>4683</v>
      </c>
      <c r="S478" s="8">
        <v>2926</v>
      </c>
      <c r="T478" s="8">
        <v>2108</v>
      </c>
      <c r="U478" s="7">
        <f t="shared" si="28"/>
        <v>26.195022339301538</v>
      </c>
      <c r="V478" s="7">
        <f t="shared" si="29"/>
        <v>69.201138996413391</v>
      </c>
      <c r="W478" s="7">
        <f t="shared" si="30"/>
        <v>4.603838664285071</v>
      </c>
      <c r="X478" s="7">
        <f>SUM(I478:L478)/D478*100</f>
        <v>34.592515031057076</v>
      </c>
      <c r="Y478" s="7">
        <f t="shared" si="31"/>
        <v>44.506292020977966</v>
      </c>
    </row>
    <row r="479" spans="1:25" x14ac:dyDescent="0.25">
      <c r="A479" s="57">
        <v>9111</v>
      </c>
      <c r="B479" t="s">
        <v>78</v>
      </c>
      <c r="C479" t="s">
        <v>554</v>
      </c>
      <c r="D479" s="8">
        <v>40319</v>
      </c>
      <c r="E479" s="8">
        <v>4238</v>
      </c>
      <c r="F479" s="8">
        <v>3397</v>
      </c>
      <c r="G479" s="8">
        <v>2883</v>
      </c>
      <c r="H479" s="8">
        <v>2923</v>
      </c>
      <c r="I479" s="8">
        <v>3617</v>
      </c>
      <c r="J479" s="8">
        <v>4301</v>
      </c>
      <c r="K479" s="8">
        <v>3770</v>
      </c>
      <c r="L479" s="8">
        <v>3331</v>
      </c>
      <c r="M479" s="8">
        <v>2591</v>
      </c>
      <c r="N479" s="8">
        <v>2428</v>
      </c>
      <c r="O479" s="8">
        <v>2161</v>
      </c>
      <c r="P479" s="8">
        <v>1739</v>
      </c>
      <c r="Q479" s="8">
        <v>1312</v>
      </c>
      <c r="R479" s="8">
        <v>850</v>
      </c>
      <c r="S479" s="8">
        <v>456</v>
      </c>
      <c r="T479" s="8">
        <v>322</v>
      </c>
      <c r="U479" s="7">
        <f t="shared" si="28"/>
        <v>26.086956521739129</v>
      </c>
      <c r="V479" s="7">
        <f t="shared" si="29"/>
        <v>69.875244921749044</v>
      </c>
      <c r="W479" s="7">
        <f t="shared" si="30"/>
        <v>4.0377985565118184</v>
      </c>
      <c r="X479" s="7">
        <f>SUM(I479:L479)/D479*100</f>
        <v>37.250427837992014</v>
      </c>
      <c r="Y479" s="7">
        <f t="shared" si="31"/>
        <v>43.112199623753241</v>
      </c>
    </row>
    <row r="480" spans="1:25" x14ac:dyDescent="0.25">
      <c r="A480" s="57">
        <v>9112</v>
      </c>
      <c r="B480" t="s">
        <v>78</v>
      </c>
      <c r="C480" t="s">
        <v>555</v>
      </c>
      <c r="D480" s="8">
        <v>42914</v>
      </c>
      <c r="E480" s="8">
        <v>5146</v>
      </c>
      <c r="F480" s="8">
        <v>2370</v>
      </c>
      <c r="G480" s="8">
        <v>1696</v>
      </c>
      <c r="H480" s="8">
        <v>2408</v>
      </c>
      <c r="I480" s="8">
        <v>3270</v>
      </c>
      <c r="J480" s="8">
        <v>4440</v>
      </c>
      <c r="K480" s="8">
        <v>4105</v>
      </c>
      <c r="L480" s="8">
        <v>4551</v>
      </c>
      <c r="M480" s="8">
        <v>3557</v>
      </c>
      <c r="N480" s="8">
        <v>3473</v>
      </c>
      <c r="O480" s="8">
        <v>2901</v>
      </c>
      <c r="P480" s="8">
        <v>2283</v>
      </c>
      <c r="Q480" s="8">
        <v>1443</v>
      </c>
      <c r="R480" s="8">
        <v>728</v>
      </c>
      <c r="S480" s="8">
        <v>317</v>
      </c>
      <c r="T480" s="8">
        <v>226</v>
      </c>
      <c r="U480" s="7">
        <f t="shared" si="28"/>
        <v>21.466188190334158</v>
      </c>
      <c r="V480" s="7">
        <f t="shared" si="29"/>
        <v>75.572074381320789</v>
      </c>
      <c r="W480" s="7">
        <f t="shared" si="30"/>
        <v>2.9617374283450624</v>
      </c>
      <c r="X480" s="7">
        <f>SUM(I480:L480)/D480*100</f>
        <v>38.136738593465999</v>
      </c>
      <c r="Y480" s="7">
        <f t="shared" si="31"/>
        <v>32.324010977151488</v>
      </c>
    </row>
    <row r="481" spans="1:25" x14ac:dyDescent="0.25">
      <c r="A481" s="57">
        <v>9201</v>
      </c>
      <c r="B481" t="s">
        <v>79</v>
      </c>
      <c r="C481" t="s">
        <v>556</v>
      </c>
      <c r="D481" s="8">
        <v>73137</v>
      </c>
      <c r="E481" s="8">
        <v>9019</v>
      </c>
      <c r="F481" s="8">
        <v>7468</v>
      </c>
      <c r="G481" s="8">
        <v>5975</v>
      </c>
      <c r="H481" s="8">
        <v>7047</v>
      </c>
      <c r="I481" s="8">
        <v>6671</v>
      </c>
      <c r="J481" s="8">
        <v>5717</v>
      </c>
      <c r="K481" s="8">
        <v>5907</v>
      </c>
      <c r="L481" s="8">
        <v>5604</v>
      </c>
      <c r="M481" s="8">
        <v>5118</v>
      </c>
      <c r="N481" s="8">
        <v>4284</v>
      </c>
      <c r="O481" s="8">
        <v>3416</v>
      </c>
      <c r="P481" s="8">
        <v>2320</v>
      </c>
      <c r="Q481" s="8">
        <v>1819</v>
      </c>
      <c r="R481" s="8">
        <v>1429</v>
      </c>
      <c r="S481" s="8">
        <v>823</v>
      </c>
      <c r="T481" s="8">
        <v>520</v>
      </c>
      <c r="U481" s="7">
        <f t="shared" ref="U481" si="32">SUM(E481:G481)/D481*100</f>
        <v>30.712225002392767</v>
      </c>
      <c r="V481" s="7">
        <f t="shared" ref="V481" si="33">SUM(H481:Q481)/D481*100</f>
        <v>65.497627739721338</v>
      </c>
      <c r="W481" s="7">
        <f t="shared" ref="W481" si="34">SUM(R481:T481)/D481*100</f>
        <v>3.7901472578858857</v>
      </c>
      <c r="X481" s="7">
        <f>SUM(I481:L481)/D481*100</f>
        <v>32.677030777855258</v>
      </c>
      <c r="Y481" s="7">
        <f t="shared" ref="Y481" si="35">SUM(E481:G481,R481:T481)/SUM(H481:Q481)*100</f>
        <v>52.67728534747301</v>
      </c>
    </row>
    <row r="482" spans="1:25" x14ac:dyDescent="0.25">
      <c r="A482" s="57">
        <v>9202</v>
      </c>
      <c r="B482" t="s">
        <v>79</v>
      </c>
      <c r="C482" t="s">
        <v>557</v>
      </c>
      <c r="D482" s="8">
        <v>125222</v>
      </c>
      <c r="E482" s="8">
        <v>11310</v>
      </c>
      <c r="F482" s="8">
        <v>10394</v>
      </c>
      <c r="G482" s="8">
        <v>9127</v>
      </c>
      <c r="H482" s="8">
        <v>10042</v>
      </c>
      <c r="I482" s="8">
        <v>10784</v>
      </c>
      <c r="J482" s="8">
        <v>10414</v>
      </c>
      <c r="K482" s="8">
        <v>10349</v>
      </c>
      <c r="L482" s="8">
        <v>9804</v>
      </c>
      <c r="M482" s="8">
        <v>9580</v>
      </c>
      <c r="N482" s="8">
        <v>8466</v>
      </c>
      <c r="O482" s="8">
        <v>7363</v>
      </c>
      <c r="P482" s="8">
        <v>5952</v>
      </c>
      <c r="Q482" s="8">
        <v>4520</v>
      </c>
      <c r="R482" s="8">
        <v>3126</v>
      </c>
      <c r="S482" s="8">
        <v>2118</v>
      </c>
      <c r="T482" s="8">
        <v>1873</v>
      </c>
      <c r="U482" s="7">
        <f>SUM(E481:G481)/D481*100</f>
        <v>30.712225002392767</v>
      </c>
      <c r="V482" s="7">
        <f>SUM(H481:Q481)/D481*100</f>
        <v>65.497627739721338</v>
      </c>
      <c r="W482" s="7">
        <f>SUM(R481:T481)/D481*100</f>
        <v>3.7901472578858857</v>
      </c>
      <c r="X482" s="7">
        <f>SUM(I481:L481)/D481*100</f>
        <v>32.677030777855258</v>
      </c>
      <c r="Y482" s="7">
        <f>SUM(E481:G481,R481:T481)/SUM(H481:Q481)*100</f>
        <v>52.67728534747301</v>
      </c>
    </row>
    <row r="483" spans="1:25" x14ac:dyDescent="0.25">
      <c r="A483" s="57">
        <v>9203</v>
      </c>
      <c r="B483" t="s">
        <v>79</v>
      </c>
      <c r="C483" t="s">
        <v>558</v>
      </c>
      <c r="D483" s="8">
        <v>58288</v>
      </c>
      <c r="E483" s="8">
        <v>6749</v>
      </c>
      <c r="F483" s="8">
        <v>5138</v>
      </c>
      <c r="G483" s="8">
        <v>4561</v>
      </c>
      <c r="H483" s="8">
        <v>5406</v>
      </c>
      <c r="I483" s="8">
        <v>5710</v>
      </c>
      <c r="J483" s="8">
        <v>5522</v>
      </c>
      <c r="K483" s="8">
        <v>4837</v>
      </c>
      <c r="L483" s="8">
        <v>4405</v>
      </c>
      <c r="M483" s="8">
        <v>3889</v>
      </c>
      <c r="N483" s="8">
        <v>3282</v>
      </c>
      <c r="O483" s="8">
        <v>2788</v>
      </c>
      <c r="P483" s="8">
        <v>2124</v>
      </c>
      <c r="Q483" s="8">
        <v>1588</v>
      </c>
      <c r="R483" s="8">
        <v>1157</v>
      </c>
      <c r="S483" s="8">
        <v>658</v>
      </c>
      <c r="T483" s="8">
        <v>474</v>
      </c>
      <c r="U483" s="7">
        <f>SUM(E482:G482)/D482*100</f>
        <v>24.621072974397471</v>
      </c>
      <c r="V483" s="7">
        <f>SUM(H482:Q482)/D482*100</f>
        <v>69.695420932424014</v>
      </c>
      <c r="W483" s="7">
        <f>SUM(R482:T482)/D482*100</f>
        <v>5.6835060931785151</v>
      </c>
      <c r="X483" s="7">
        <f>SUM(I482:L482)/D482*100</f>
        <v>33.022152656881374</v>
      </c>
      <c r="Y483" s="7">
        <f>SUM(E482:G482,R482:T482)/SUM(H482:Q482)*100</f>
        <v>43.481449228865408</v>
      </c>
    </row>
    <row r="484" spans="1:25" x14ac:dyDescent="0.25">
      <c r="A484" s="57">
        <v>9204</v>
      </c>
      <c r="B484" t="s">
        <v>79</v>
      </c>
      <c r="C484" t="s">
        <v>559</v>
      </c>
      <c r="D484" s="8">
        <v>50059</v>
      </c>
      <c r="E484" s="8">
        <v>6960</v>
      </c>
      <c r="F484" s="8">
        <v>3313</v>
      </c>
      <c r="G484" s="8">
        <v>2577</v>
      </c>
      <c r="H484" s="8">
        <v>3730</v>
      </c>
      <c r="I484" s="8">
        <v>4560</v>
      </c>
      <c r="J484" s="8">
        <v>5478</v>
      </c>
      <c r="K484" s="8">
        <v>4781</v>
      </c>
      <c r="L484" s="8">
        <v>4122</v>
      </c>
      <c r="M484" s="8">
        <v>3016</v>
      </c>
      <c r="N484" s="8">
        <v>2919</v>
      </c>
      <c r="O484" s="8">
        <v>2503</v>
      </c>
      <c r="P484" s="8">
        <v>2157</v>
      </c>
      <c r="Q484" s="8">
        <v>1512</v>
      </c>
      <c r="R484" s="8">
        <v>1123</v>
      </c>
      <c r="S484" s="8">
        <v>717</v>
      </c>
      <c r="T484" s="8">
        <v>591</v>
      </c>
      <c r="U484" s="7">
        <f>SUM(E483:G483)/D483*100</f>
        <v>28.218501235245675</v>
      </c>
      <c r="V484" s="7">
        <f>SUM(H483:Q483)/D483*100</f>
        <v>67.854446884435902</v>
      </c>
      <c r="W484" s="7">
        <f>SUM(R483:T483)/D483*100</f>
        <v>3.9270518803184191</v>
      </c>
      <c r="X484" s="7">
        <f>SUM(I483:L483)/D483*100</f>
        <v>35.125583310458417</v>
      </c>
      <c r="Y484" s="7">
        <f>SUM(E483:G483,R483:T483)/SUM(H483:Q483)*100</f>
        <v>47.374276250916537</v>
      </c>
    </row>
    <row r="485" spans="1:25" x14ac:dyDescent="0.25">
      <c r="A485" s="57">
        <v>9205</v>
      </c>
      <c r="B485" t="s">
        <v>79</v>
      </c>
      <c r="C485" t="s">
        <v>560</v>
      </c>
      <c r="D485" s="8">
        <v>32755</v>
      </c>
      <c r="E485" s="8">
        <v>4868</v>
      </c>
      <c r="F485" s="8">
        <v>3115</v>
      </c>
      <c r="G485" s="8">
        <v>2116</v>
      </c>
      <c r="H485" s="8">
        <v>2440</v>
      </c>
      <c r="I485" s="8">
        <v>2405</v>
      </c>
      <c r="J485" s="8">
        <v>3050</v>
      </c>
      <c r="K485" s="8">
        <v>2730</v>
      </c>
      <c r="L485" s="8">
        <v>2672</v>
      </c>
      <c r="M485" s="8">
        <v>2553</v>
      </c>
      <c r="N485" s="8">
        <v>2152</v>
      </c>
      <c r="O485" s="8">
        <v>1581</v>
      </c>
      <c r="P485" s="8">
        <v>1172</v>
      </c>
      <c r="Q485" s="8">
        <v>931</v>
      </c>
      <c r="R485" s="8">
        <v>496</v>
      </c>
      <c r="S485" s="8">
        <v>282</v>
      </c>
      <c r="T485" s="8">
        <v>192</v>
      </c>
      <c r="U485" s="7">
        <f>SUM(E484:G484)/D484*100</f>
        <v>25.669709742503844</v>
      </c>
      <c r="V485" s="7">
        <f>SUM(H484:Q484)/D484*100</f>
        <v>69.474020655626362</v>
      </c>
      <c r="W485" s="7">
        <f>SUM(R484:T484)/D484*100</f>
        <v>4.8562696018697933</v>
      </c>
      <c r="X485" s="7">
        <f>SUM(I484:L484)/D484*100</f>
        <v>37.837351924728821</v>
      </c>
      <c r="Y485" s="7">
        <f>SUM(E484:G484,R484:T484)/SUM(H484:Q484)*100</f>
        <v>43.938696877336248</v>
      </c>
    </row>
    <row r="486" spans="1:25" x14ac:dyDescent="0.25">
      <c r="A486" s="57">
        <v>9271</v>
      </c>
      <c r="B486" t="s">
        <v>79</v>
      </c>
      <c r="C486" t="s">
        <v>561</v>
      </c>
      <c r="D486" s="8">
        <v>306083</v>
      </c>
      <c r="E486" s="8">
        <v>26664</v>
      </c>
      <c r="F486" s="8">
        <v>23369</v>
      </c>
      <c r="G486" s="8">
        <v>22153</v>
      </c>
      <c r="H486" s="8">
        <v>23627</v>
      </c>
      <c r="I486" s="8">
        <v>24835</v>
      </c>
      <c r="J486" s="8">
        <v>26698</v>
      </c>
      <c r="K486" s="8">
        <v>28550</v>
      </c>
      <c r="L486" s="8">
        <v>27334</v>
      </c>
      <c r="M486" s="8">
        <v>24799</v>
      </c>
      <c r="N486" s="8">
        <v>21024</v>
      </c>
      <c r="O486" s="8">
        <v>17288</v>
      </c>
      <c r="P486" s="8">
        <v>13324</v>
      </c>
      <c r="Q486" s="8">
        <v>10201</v>
      </c>
      <c r="R486" s="8">
        <v>7330</v>
      </c>
      <c r="S486" s="8">
        <v>5056</v>
      </c>
      <c r="T486" s="8">
        <v>3831</v>
      </c>
      <c r="U486" s="7">
        <f>SUM(E485:G485)/D485*100</f>
        <v>30.831934055869333</v>
      </c>
      <c r="V486" s="7">
        <f>SUM(H485:Q485)/D485*100</f>
        <v>66.206686002137076</v>
      </c>
      <c r="W486" s="7">
        <f>SUM(R485:T485)/D485*100</f>
        <v>2.9613799419935889</v>
      </c>
      <c r="X486" s="7">
        <f>SUM(I485:L485)/D485*100</f>
        <v>33.146084567241644</v>
      </c>
      <c r="Y486" s="7">
        <f>SUM(E485:G485,R485:T485)/SUM(H485:Q485)*100</f>
        <v>51.042147007285813</v>
      </c>
    </row>
    <row r="487" spans="1:25" x14ac:dyDescent="0.25">
      <c r="A487" s="57">
        <v>9403</v>
      </c>
      <c r="B487" t="s">
        <v>80</v>
      </c>
      <c r="C487" t="s">
        <v>562</v>
      </c>
      <c r="D487" s="8">
        <v>176375</v>
      </c>
      <c r="E487" s="8">
        <v>16250</v>
      </c>
      <c r="F487" s="8">
        <v>23733</v>
      </c>
      <c r="G487" s="8">
        <v>22325</v>
      </c>
      <c r="H487" s="8">
        <v>15176</v>
      </c>
      <c r="I487" s="8">
        <v>11125</v>
      </c>
      <c r="J487" s="8">
        <v>13917</v>
      </c>
      <c r="K487" s="8">
        <v>13195</v>
      </c>
      <c r="L487" s="8">
        <v>13052</v>
      </c>
      <c r="M487" s="8">
        <v>11525</v>
      </c>
      <c r="N487" s="8">
        <v>9488</v>
      </c>
      <c r="O487" s="8">
        <v>7910</v>
      </c>
      <c r="P487" s="8">
        <v>5784</v>
      </c>
      <c r="Q487" s="8">
        <v>5004</v>
      </c>
      <c r="R487" s="8">
        <v>3364</v>
      </c>
      <c r="S487" s="8">
        <v>2423</v>
      </c>
      <c r="T487" s="8">
        <v>2104</v>
      </c>
      <c r="U487" s="7">
        <f>SUM(E486:G486)/D486*100</f>
        <v>23.583799165585805</v>
      </c>
      <c r="V487" s="7">
        <f>SUM(H486:Q486)/D486*100</f>
        <v>71.117964735055523</v>
      </c>
      <c r="W487" s="7">
        <f>SUM(R486:T486)/D486*100</f>
        <v>5.2982360993586708</v>
      </c>
      <c r="X487" s="7">
        <f>SUM(I486:L486)/D486*100</f>
        <v>35.094075789900124</v>
      </c>
      <c r="Y487" s="7">
        <f>SUM(E486:G486,R486:T486)/SUM(H486:Q486)*100</f>
        <v>40.611447997059905</v>
      </c>
    </row>
    <row r="488" spans="1:25" x14ac:dyDescent="0.25">
      <c r="A488" s="57">
        <v>9408</v>
      </c>
      <c r="B488" t="s">
        <v>80</v>
      </c>
      <c r="C488" t="s">
        <v>563</v>
      </c>
      <c r="D488" s="8">
        <v>121653</v>
      </c>
      <c r="E488" s="8">
        <v>12864</v>
      </c>
      <c r="F488" s="8">
        <v>13221</v>
      </c>
      <c r="G488" s="8">
        <v>14603</v>
      </c>
      <c r="H488" s="8">
        <v>11673</v>
      </c>
      <c r="I488" s="8">
        <v>8574</v>
      </c>
      <c r="J488" s="8">
        <v>9352</v>
      </c>
      <c r="K488" s="8">
        <v>8607</v>
      </c>
      <c r="L488" s="8">
        <v>8539</v>
      </c>
      <c r="M488" s="8">
        <v>7687</v>
      </c>
      <c r="N488" s="8">
        <v>6313</v>
      </c>
      <c r="O488" s="8">
        <v>5649</v>
      </c>
      <c r="P488" s="8">
        <v>4285</v>
      </c>
      <c r="Q488" s="8">
        <v>3894</v>
      </c>
      <c r="R488" s="8">
        <v>2791</v>
      </c>
      <c r="S488" s="8">
        <v>2002</v>
      </c>
      <c r="T488" s="8">
        <v>1599</v>
      </c>
      <c r="U488" s="7">
        <f>SUM(E487:G487)/D487*100</f>
        <v>35.327002126151662</v>
      </c>
      <c r="V488" s="7">
        <f>SUM(H487:Q487)/D487*100</f>
        <v>60.199007795889436</v>
      </c>
      <c r="W488" s="7">
        <f>SUM(R487:T487)/D487*100</f>
        <v>4.4739900779588941</v>
      </c>
      <c r="X488" s="7">
        <f>SUM(I487:L487)/D487*100</f>
        <v>29.079518072289158</v>
      </c>
      <c r="Y488" s="7">
        <f>SUM(E487:G487,R487:T487)/SUM(H487:Q487)*100</f>
        <v>66.115694695599757</v>
      </c>
    </row>
    <row r="489" spans="1:25" x14ac:dyDescent="0.25">
      <c r="A489" s="57">
        <v>9409</v>
      </c>
      <c r="B489" t="s">
        <v>80</v>
      </c>
      <c r="C489" t="s">
        <v>564</v>
      </c>
      <c r="D489" s="8">
        <v>144454</v>
      </c>
      <c r="E489" s="8">
        <v>14797</v>
      </c>
      <c r="F489" s="8">
        <v>15682</v>
      </c>
      <c r="G489" s="8">
        <v>15986</v>
      </c>
      <c r="H489" s="8">
        <v>13627</v>
      </c>
      <c r="I489" s="8">
        <v>10229</v>
      </c>
      <c r="J489" s="8">
        <v>10904</v>
      </c>
      <c r="K489" s="8">
        <v>10115</v>
      </c>
      <c r="L489" s="8">
        <v>9698</v>
      </c>
      <c r="M489" s="8">
        <v>9090</v>
      </c>
      <c r="N489" s="8">
        <v>7408</v>
      </c>
      <c r="O489" s="8">
        <v>6809</v>
      </c>
      <c r="P489" s="8">
        <v>5470</v>
      </c>
      <c r="Q489" s="8">
        <v>5231</v>
      </c>
      <c r="R489" s="8">
        <v>3840</v>
      </c>
      <c r="S489" s="8">
        <v>2957</v>
      </c>
      <c r="T489" s="8">
        <v>2611</v>
      </c>
      <c r="U489" s="7">
        <f>SUM(E488:G488)/D488*100</f>
        <v>33.445948723007241</v>
      </c>
      <c r="V489" s="7">
        <f>SUM(H488:Q488)/D488*100</f>
        <v>61.299762439068495</v>
      </c>
      <c r="W489" s="7">
        <f>SUM(R488:T488)/D488*100</f>
        <v>5.2542888379242596</v>
      </c>
      <c r="X489" s="7">
        <f>SUM(I488:L488)/D488*100</f>
        <v>28.829539756520596</v>
      </c>
      <c r="Y489" s="7">
        <f>SUM(E488:G488,R488:T488)/SUM(H488:Q488)*100</f>
        <v>63.132769232832253</v>
      </c>
    </row>
    <row r="490" spans="1:25" x14ac:dyDescent="0.25">
      <c r="A490" s="57">
        <v>9419</v>
      </c>
      <c r="B490" t="s">
        <v>80</v>
      </c>
      <c r="C490" t="s">
        <v>565</v>
      </c>
      <c r="D490" s="8">
        <v>43846</v>
      </c>
      <c r="E490" s="8">
        <v>3525</v>
      </c>
      <c r="F490" s="8">
        <v>5740</v>
      </c>
      <c r="G490" s="8">
        <v>5668</v>
      </c>
      <c r="H490" s="8">
        <v>3788</v>
      </c>
      <c r="I490" s="8">
        <v>2730</v>
      </c>
      <c r="J490" s="8">
        <v>3023</v>
      </c>
      <c r="K490" s="8">
        <v>3131</v>
      </c>
      <c r="L490" s="8">
        <v>3675</v>
      </c>
      <c r="M490" s="8">
        <v>3117</v>
      </c>
      <c r="N490" s="8">
        <v>2413</v>
      </c>
      <c r="O490" s="8">
        <v>2103</v>
      </c>
      <c r="P490" s="8">
        <v>1526</v>
      </c>
      <c r="Q490" s="8">
        <v>1353</v>
      </c>
      <c r="R490" s="8">
        <v>922</v>
      </c>
      <c r="S490" s="8">
        <v>594</v>
      </c>
      <c r="T490" s="8">
        <v>538</v>
      </c>
      <c r="U490" s="7">
        <f>SUM(E489:G489)/D489*100</f>
        <v>32.165949021833939</v>
      </c>
      <c r="V490" s="7">
        <f>SUM(H489:Q489)/D489*100</f>
        <v>61.321251055699392</v>
      </c>
      <c r="W490" s="7">
        <f>SUM(R489:T489)/D489*100</f>
        <v>6.5127999224666677</v>
      </c>
      <c r="X490" s="7">
        <f>SUM(I489:L489)/D489*100</f>
        <v>28.345355614936242</v>
      </c>
      <c r="Y490" s="7">
        <f>SUM(E489:G489,R489:T489)/SUM(H489:Q489)*100</f>
        <v>63.075603120307967</v>
      </c>
    </row>
    <row r="491" spans="1:25" x14ac:dyDescent="0.25">
      <c r="A491" s="57">
        <v>9420</v>
      </c>
      <c r="B491" t="s">
        <v>80</v>
      </c>
      <c r="C491" t="s">
        <v>566</v>
      </c>
      <c r="D491" s="8">
        <v>65450</v>
      </c>
      <c r="E491" s="8">
        <v>5382</v>
      </c>
      <c r="F491" s="8">
        <v>9132</v>
      </c>
      <c r="G491" s="8">
        <v>7974</v>
      </c>
      <c r="H491" s="8">
        <v>5271</v>
      </c>
      <c r="I491" s="8">
        <v>3825</v>
      </c>
      <c r="J491" s="8">
        <v>4557</v>
      </c>
      <c r="K491" s="8">
        <v>4668</v>
      </c>
      <c r="L491" s="8">
        <v>5020</v>
      </c>
      <c r="M491" s="8">
        <v>4683</v>
      </c>
      <c r="N491" s="8">
        <v>3734</v>
      </c>
      <c r="O491" s="8">
        <v>3250</v>
      </c>
      <c r="P491" s="8">
        <v>2485</v>
      </c>
      <c r="Q491" s="8">
        <v>2247</v>
      </c>
      <c r="R491" s="8">
        <v>1499</v>
      </c>
      <c r="S491" s="8">
        <v>912</v>
      </c>
      <c r="T491" s="8">
        <v>811</v>
      </c>
      <c r="U491" s="7">
        <f>SUM(E490:G490)/D490*100</f>
        <v>34.057838799434386</v>
      </c>
      <c r="V491" s="7">
        <f>SUM(H490:Q490)/D490*100</f>
        <v>61.257583359941613</v>
      </c>
      <c r="W491" s="7">
        <f>SUM(R490:T490)/D490*100</f>
        <v>4.6845778406240015</v>
      </c>
      <c r="X491" s="7">
        <f>SUM(I490:L490)/D490*100</f>
        <v>28.643433836609955</v>
      </c>
      <c r="Y491" s="7">
        <f>SUM(E490:G490,R490:T490)/SUM(H490:Q490)*100</f>
        <v>63.245094754086153</v>
      </c>
    </row>
    <row r="492" spans="1:25" x14ac:dyDescent="0.25">
      <c r="A492" s="57">
        <v>9426</v>
      </c>
      <c r="B492" t="s">
        <v>80</v>
      </c>
      <c r="C492" t="s">
        <v>567</v>
      </c>
      <c r="D492" s="8">
        <v>36783</v>
      </c>
      <c r="E492" s="8">
        <v>3568</v>
      </c>
      <c r="F492" s="8">
        <v>5187</v>
      </c>
      <c r="G492" s="8">
        <v>5143</v>
      </c>
      <c r="H492" s="8">
        <v>3532</v>
      </c>
      <c r="I492" s="8">
        <v>2196</v>
      </c>
      <c r="J492" s="8">
        <v>2560</v>
      </c>
      <c r="K492" s="8">
        <v>2427</v>
      </c>
      <c r="L492" s="8">
        <v>2549</v>
      </c>
      <c r="M492" s="8">
        <v>2352</v>
      </c>
      <c r="N492" s="8">
        <v>1962</v>
      </c>
      <c r="O492" s="8">
        <v>1566</v>
      </c>
      <c r="P492" s="8">
        <v>1219</v>
      </c>
      <c r="Q492" s="8">
        <v>983</v>
      </c>
      <c r="R492" s="8">
        <v>660</v>
      </c>
      <c r="S492" s="8">
        <v>459</v>
      </c>
      <c r="T492" s="8">
        <v>420</v>
      </c>
      <c r="U492" s="7">
        <f>SUM(E491:G491)/D491*100</f>
        <v>34.35905271199389</v>
      </c>
      <c r="V492" s="7">
        <f>SUM(H491:Q491)/D491*100</f>
        <v>60.71810542398778</v>
      </c>
      <c r="W492" s="7">
        <f>SUM(R491:T491)/D491*100</f>
        <v>4.9228418640183342</v>
      </c>
      <c r="X492" s="7">
        <f>SUM(I491:L491)/D491*100</f>
        <v>27.608861726508788</v>
      </c>
      <c r="Y492" s="7">
        <f>SUM(E491:G491,R491:T491)/SUM(H491:Q491)*100</f>
        <v>64.695520885757418</v>
      </c>
    </row>
    <row r="493" spans="1:25" x14ac:dyDescent="0.25">
      <c r="A493" s="57">
        <v>9427</v>
      </c>
      <c r="B493" t="s">
        <v>80</v>
      </c>
      <c r="C493" t="s">
        <v>568</v>
      </c>
      <c r="D493" s="8">
        <v>25524</v>
      </c>
      <c r="E493" s="8">
        <v>3213</v>
      </c>
      <c r="F493" s="8">
        <v>3212</v>
      </c>
      <c r="G493" s="8">
        <v>3585</v>
      </c>
      <c r="H493" s="8">
        <v>2443</v>
      </c>
      <c r="I493" s="8">
        <v>1597</v>
      </c>
      <c r="J493" s="8">
        <v>1729</v>
      </c>
      <c r="K493" s="8">
        <v>1687</v>
      </c>
      <c r="L493" s="8">
        <v>1874</v>
      </c>
      <c r="M493" s="8">
        <v>1596</v>
      </c>
      <c r="N493" s="8">
        <v>1125</v>
      </c>
      <c r="O493" s="8">
        <v>874</v>
      </c>
      <c r="P493" s="8">
        <v>655</v>
      </c>
      <c r="Q493" s="8">
        <v>655</v>
      </c>
      <c r="R493" s="8">
        <v>499</v>
      </c>
      <c r="S493" s="8">
        <v>421</v>
      </c>
      <c r="T493" s="8">
        <v>359</v>
      </c>
      <c r="U493" s="7">
        <f>SUM(E492:G492)/D492*100</f>
        <v>37.783758801620316</v>
      </c>
      <c r="V493" s="7">
        <f>SUM(H492:Q492)/D492*100</f>
        <v>58.032243155805673</v>
      </c>
      <c r="W493" s="7">
        <f>SUM(R492:T492)/D492*100</f>
        <v>4.1839980425740153</v>
      </c>
      <c r="X493" s="7">
        <f>SUM(I492:L492)/D492*100</f>
        <v>26.457874561618137</v>
      </c>
      <c r="Y493" s="7">
        <f>SUM(E492:G492,R492:T492)/SUM(H492:Q492)*100</f>
        <v>72.317998688278834</v>
      </c>
    </row>
    <row r="494" spans="1:25" x14ac:dyDescent="0.25">
      <c r="A494" s="57">
        <v>9428</v>
      </c>
      <c r="B494" t="s">
        <v>80</v>
      </c>
      <c r="C494" t="s">
        <v>569</v>
      </c>
      <c r="D494" s="8">
        <v>40887</v>
      </c>
      <c r="E494" s="8">
        <v>4993</v>
      </c>
      <c r="F494" s="8">
        <v>4470</v>
      </c>
      <c r="G494" s="8">
        <v>4511</v>
      </c>
      <c r="H494" s="8">
        <v>3489</v>
      </c>
      <c r="I494" s="8">
        <v>3157</v>
      </c>
      <c r="J494" s="8">
        <v>3270</v>
      </c>
      <c r="K494" s="8">
        <v>3296</v>
      </c>
      <c r="L494" s="8">
        <v>3183</v>
      </c>
      <c r="M494" s="8">
        <v>2591</v>
      </c>
      <c r="N494" s="8">
        <v>2310</v>
      </c>
      <c r="O494" s="8">
        <v>1754</v>
      </c>
      <c r="P494" s="8">
        <v>1299</v>
      </c>
      <c r="Q494" s="8">
        <v>1116</v>
      </c>
      <c r="R494" s="8">
        <v>692</v>
      </c>
      <c r="S494" s="8">
        <v>437</v>
      </c>
      <c r="T494" s="8">
        <v>319</v>
      </c>
      <c r="U494" s="7">
        <f>SUM(E493:G493)/D493*100</f>
        <v>39.217990910515596</v>
      </c>
      <c r="V494" s="7">
        <f>SUM(H493:Q493)/D493*100</f>
        <v>55.771039022096843</v>
      </c>
      <c r="W494" s="7">
        <f>SUM(R493:T493)/D493*100</f>
        <v>5.0109700673875563</v>
      </c>
      <c r="X494" s="7">
        <f>SUM(I493:L493)/D493*100</f>
        <v>26.982447892179913</v>
      </c>
      <c r="Y494" s="7">
        <f>SUM(E493:G493,R493:T493)/SUM(H493:Q493)*100</f>
        <v>79.304531085353005</v>
      </c>
    </row>
    <row r="495" spans="1:25" x14ac:dyDescent="0.25">
      <c r="A495" s="57">
        <v>9471</v>
      </c>
      <c r="B495" t="s">
        <v>80</v>
      </c>
      <c r="C495" t="s">
        <v>570</v>
      </c>
      <c r="D495" s="8">
        <v>431482</v>
      </c>
      <c r="E495" s="8">
        <v>35387</v>
      </c>
      <c r="F495" s="8">
        <v>44831</v>
      </c>
      <c r="G495" s="8">
        <v>40226</v>
      </c>
      <c r="H495" s="8">
        <v>30217</v>
      </c>
      <c r="I495" s="8">
        <v>23794</v>
      </c>
      <c r="J495" s="8">
        <v>33249</v>
      </c>
      <c r="K495" s="8">
        <v>39704</v>
      </c>
      <c r="L495" s="8">
        <v>42965</v>
      </c>
      <c r="M495" s="8">
        <v>37039</v>
      </c>
      <c r="N495" s="8">
        <v>28086</v>
      </c>
      <c r="O495" s="8">
        <v>23959</v>
      </c>
      <c r="P495" s="8">
        <v>17085</v>
      </c>
      <c r="Q495" s="8">
        <v>14261</v>
      </c>
      <c r="R495" s="8">
        <v>8842</v>
      </c>
      <c r="S495" s="8">
        <v>5998</v>
      </c>
      <c r="T495" s="8">
        <v>5839</v>
      </c>
      <c r="U495" s="7">
        <f>SUM(E494:G494)/D494*100</f>
        <v>34.177122312715532</v>
      </c>
      <c r="V495" s="7">
        <f>SUM(H494:Q494)/D494*100</f>
        <v>62.281409739036853</v>
      </c>
      <c r="W495" s="7">
        <f>SUM(R494:T494)/D494*100</f>
        <v>3.5414679482476092</v>
      </c>
      <c r="X495" s="7">
        <f>SUM(I494:L494)/D494*100</f>
        <v>31.56504512436716</v>
      </c>
      <c r="Y495" s="7">
        <f>SUM(E494:G494,R494:T494)/SUM(H494:Q494)*100</f>
        <v>60.561555075593951</v>
      </c>
    </row>
    <row r="496" spans="1:25" x14ac:dyDescent="0.25">
      <c r="A496" s="57">
        <v>9501</v>
      </c>
      <c r="B496" t="s">
        <v>81</v>
      </c>
      <c r="C496" t="s">
        <v>571</v>
      </c>
      <c r="D496" s="8">
        <v>243628</v>
      </c>
      <c r="E496" s="8">
        <v>20858</v>
      </c>
      <c r="F496" s="8">
        <v>32564</v>
      </c>
      <c r="G496" s="8">
        <v>27483</v>
      </c>
      <c r="H496" s="8">
        <v>19853</v>
      </c>
      <c r="I496" s="8">
        <v>15180</v>
      </c>
      <c r="J496" s="8">
        <v>17238</v>
      </c>
      <c r="K496" s="8">
        <v>17434</v>
      </c>
      <c r="L496" s="8">
        <v>17452</v>
      </c>
      <c r="M496" s="8">
        <v>17426</v>
      </c>
      <c r="N496" s="8">
        <v>13620</v>
      </c>
      <c r="O496" s="8">
        <v>12177</v>
      </c>
      <c r="P496" s="8">
        <v>9151</v>
      </c>
      <c r="Q496" s="8">
        <v>8473</v>
      </c>
      <c r="R496" s="8">
        <v>5947</v>
      </c>
      <c r="S496" s="8">
        <v>4284</v>
      </c>
      <c r="T496" s="8">
        <v>4488</v>
      </c>
      <c r="U496" s="7">
        <f>SUM(E495:G495)/D495*100</f>
        <v>27.914026541083985</v>
      </c>
      <c r="V496" s="7">
        <f>SUM(H495:Q495)/D495*100</f>
        <v>67.29342127829203</v>
      </c>
      <c r="W496" s="7">
        <f>SUM(R495:T495)/D495*100</f>
        <v>4.7925521806239884</v>
      </c>
      <c r="X496" s="7">
        <f>SUM(I495:L495)/D495*100</f>
        <v>32.37956623914787</v>
      </c>
      <c r="Y496" s="7">
        <f>SUM(E495:G495,R495:T495)/SUM(H495:Q495)*100</f>
        <v>48.602936364982661</v>
      </c>
    </row>
    <row r="497" spans="1:25" x14ac:dyDescent="0.25">
      <c r="A497" s="57">
        <v>9502</v>
      </c>
      <c r="B497" t="s">
        <v>81</v>
      </c>
      <c r="C497" t="s">
        <v>572</v>
      </c>
      <c r="D497" s="8">
        <v>71509</v>
      </c>
      <c r="E497" s="8">
        <v>7224</v>
      </c>
      <c r="F497" s="8">
        <v>11232</v>
      </c>
      <c r="G497" s="8">
        <v>10458</v>
      </c>
      <c r="H497" s="8">
        <v>5866</v>
      </c>
      <c r="I497" s="8">
        <v>4043</v>
      </c>
      <c r="J497" s="8">
        <v>4827</v>
      </c>
      <c r="K497" s="8">
        <v>4817</v>
      </c>
      <c r="L497" s="8">
        <v>5469</v>
      </c>
      <c r="M497" s="8">
        <v>4773</v>
      </c>
      <c r="N497" s="8">
        <v>3708</v>
      </c>
      <c r="O497" s="8">
        <v>3313</v>
      </c>
      <c r="P497" s="8">
        <v>2211</v>
      </c>
      <c r="Q497" s="8">
        <v>1645</v>
      </c>
      <c r="R497" s="8">
        <v>931</v>
      </c>
      <c r="S497" s="8">
        <v>574</v>
      </c>
      <c r="T497" s="8">
        <v>418</v>
      </c>
      <c r="U497" s="7">
        <f>SUM(E496:G496)/D496*100</f>
        <v>33.208416109806755</v>
      </c>
      <c r="V497" s="7">
        <f>SUM(H496:Q496)/D496*100</f>
        <v>60.749995895381481</v>
      </c>
      <c r="W497" s="7">
        <f>SUM(R496:T496)/D496*100</f>
        <v>6.0415879948117626</v>
      </c>
      <c r="X497" s="7">
        <f>SUM(I496:L496)/D496*100</f>
        <v>27.625724465168204</v>
      </c>
      <c r="Y497" s="7">
        <f>SUM(E496:G496,R496:T496)/SUM(H496:Q496)*100</f>
        <v>64.609064619875127</v>
      </c>
    </row>
    <row r="498" spans="1:25" x14ac:dyDescent="0.25">
      <c r="A498" s="57">
        <v>9503</v>
      </c>
      <c r="B498" t="s">
        <v>81</v>
      </c>
      <c r="C498" t="s">
        <v>573</v>
      </c>
      <c r="D498" s="8">
        <v>118820</v>
      </c>
      <c r="E498" s="8">
        <v>13104</v>
      </c>
      <c r="F498" s="8">
        <v>17489</v>
      </c>
      <c r="G498" s="8">
        <v>17284</v>
      </c>
      <c r="H498" s="8">
        <v>12140</v>
      </c>
      <c r="I498" s="8">
        <v>8398</v>
      </c>
      <c r="J498" s="8">
        <v>7685</v>
      </c>
      <c r="K498" s="8">
        <v>7459</v>
      </c>
      <c r="L498" s="8">
        <v>7660</v>
      </c>
      <c r="M498" s="8">
        <v>6909</v>
      </c>
      <c r="N498" s="8">
        <v>5869</v>
      </c>
      <c r="O498" s="8">
        <v>4577</v>
      </c>
      <c r="P498" s="8">
        <v>3405</v>
      </c>
      <c r="Q498" s="8">
        <v>2758</v>
      </c>
      <c r="R498" s="8">
        <v>1834</v>
      </c>
      <c r="S498" s="8">
        <v>1200</v>
      </c>
      <c r="T498" s="8">
        <v>1049</v>
      </c>
      <c r="U498" s="7">
        <f>SUM(E497:G497)/D497*100</f>
        <v>40.434071235788508</v>
      </c>
      <c r="V498" s="7">
        <f>SUM(H497:Q497)/D497*100</f>
        <v>56.876756771874867</v>
      </c>
      <c r="W498" s="7">
        <f>SUM(R497:T497)/D497*100</f>
        <v>2.6891719923366293</v>
      </c>
      <c r="X498" s="7">
        <f>SUM(I497:L497)/D497*100</f>
        <v>26.78823644576207</v>
      </c>
      <c r="Y498" s="7">
        <f>SUM(E497:G497,R497:T497)/SUM(H497:Q497)*100</f>
        <v>75.818745082612111</v>
      </c>
    </row>
    <row r="499" spans="1:25" x14ac:dyDescent="0.25">
      <c r="A499" s="57">
        <v>9504</v>
      </c>
      <c r="B499" t="s">
        <v>81</v>
      </c>
      <c r="C499" t="s">
        <v>574</v>
      </c>
      <c r="D499" s="8">
        <v>123246</v>
      </c>
      <c r="E499" s="8">
        <v>14186</v>
      </c>
      <c r="F499" s="8">
        <v>25708</v>
      </c>
      <c r="G499" s="8">
        <v>15639</v>
      </c>
      <c r="H499" s="8">
        <v>10903</v>
      </c>
      <c r="I499" s="8">
        <v>9008</v>
      </c>
      <c r="J499" s="8">
        <v>7529</v>
      </c>
      <c r="K499" s="8">
        <v>7285</v>
      </c>
      <c r="L499" s="8">
        <v>7641</v>
      </c>
      <c r="M499" s="8">
        <v>6445</v>
      </c>
      <c r="N499" s="8">
        <v>5913</v>
      </c>
      <c r="O499" s="8">
        <v>4298</v>
      </c>
      <c r="P499" s="8">
        <v>3503</v>
      </c>
      <c r="Q499" s="8">
        <v>2299</v>
      </c>
      <c r="R499" s="8">
        <v>1455</v>
      </c>
      <c r="S499" s="8">
        <v>818</v>
      </c>
      <c r="T499" s="8">
        <v>616</v>
      </c>
      <c r="U499" s="7">
        <f>SUM(E498:G498)/D498*100</f>
        <v>40.293721595690961</v>
      </c>
      <c r="V499" s="7">
        <f>SUM(H498:Q498)/D498*100</f>
        <v>56.269988217471813</v>
      </c>
      <c r="W499" s="7">
        <f>SUM(R498:T498)/D498*100</f>
        <v>3.4362901868372329</v>
      </c>
      <c r="X499" s="7">
        <f>SUM(I498:L498)/D498*100</f>
        <v>26.259888907591318</v>
      </c>
      <c r="Y499" s="7">
        <f>SUM(E498:G498,R498:T498)/SUM(H498:Q498)*100</f>
        <v>77.714627580017947</v>
      </c>
    </row>
    <row r="500" spans="1:25" x14ac:dyDescent="0.25">
      <c r="A500" s="57">
        <v>9601</v>
      </c>
      <c r="B500" t="s">
        <v>82</v>
      </c>
      <c r="C500" t="s">
        <v>575</v>
      </c>
      <c r="D500" s="8">
        <v>335373</v>
      </c>
      <c r="E500" s="8">
        <v>26772</v>
      </c>
      <c r="F500" s="8">
        <v>38152</v>
      </c>
      <c r="G500" s="8">
        <v>38853</v>
      </c>
      <c r="H500" s="8">
        <v>26526</v>
      </c>
      <c r="I500" s="8">
        <v>20164</v>
      </c>
      <c r="J500" s="8">
        <v>23165</v>
      </c>
      <c r="K500" s="8">
        <v>27274</v>
      </c>
      <c r="L500" s="8">
        <v>30503</v>
      </c>
      <c r="M500" s="8">
        <v>28049</v>
      </c>
      <c r="N500" s="8">
        <v>23900</v>
      </c>
      <c r="O500" s="8">
        <v>19846</v>
      </c>
      <c r="P500" s="8">
        <v>13292</v>
      </c>
      <c r="Q500" s="8">
        <v>8593</v>
      </c>
      <c r="R500" s="8">
        <v>4837</v>
      </c>
      <c r="S500" s="8">
        <v>2864</v>
      </c>
      <c r="T500" s="8">
        <v>2583</v>
      </c>
      <c r="U500" s="7">
        <f>SUM(E499:G499)/D499*100</f>
        <v>45.058663161481917</v>
      </c>
      <c r="V500" s="7">
        <f>SUM(H499:Q499)/D499*100</f>
        <v>52.597244535319611</v>
      </c>
      <c r="W500" s="7">
        <f>SUM(R499:T499)/D499*100</f>
        <v>2.3440923031984808</v>
      </c>
      <c r="X500" s="7">
        <f>SUM(I499:L499)/D499*100</f>
        <v>25.528617561624717</v>
      </c>
      <c r="Y500" s="7">
        <f>SUM(E499:G499,R499:T499)/SUM(H499:Q499)*100</f>
        <v>90.124028137726768</v>
      </c>
    </row>
    <row r="501" spans="1:25" x14ac:dyDescent="0.25">
      <c r="A501" s="57">
        <v>9602</v>
      </c>
      <c r="B501" t="s">
        <v>82</v>
      </c>
      <c r="C501" t="s">
        <v>576</v>
      </c>
      <c r="D501" s="8">
        <v>129273</v>
      </c>
      <c r="E501" s="8">
        <v>15106</v>
      </c>
      <c r="F501" s="8">
        <v>8855</v>
      </c>
      <c r="G501" s="8">
        <v>12352</v>
      </c>
      <c r="H501" s="8">
        <v>8772</v>
      </c>
      <c r="I501" s="8">
        <v>8189</v>
      </c>
      <c r="J501" s="8">
        <v>9515</v>
      </c>
      <c r="K501" s="8">
        <v>13280</v>
      </c>
      <c r="L501" s="8">
        <v>11955</v>
      </c>
      <c r="M501" s="8">
        <v>10575</v>
      </c>
      <c r="N501" s="8">
        <v>9199</v>
      </c>
      <c r="O501" s="8">
        <v>6348</v>
      </c>
      <c r="P501" s="8">
        <v>6261</v>
      </c>
      <c r="Q501" s="8">
        <v>4017</v>
      </c>
      <c r="R501" s="8">
        <v>2482</v>
      </c>
      <c r="S501" s="8">
        <v>1356</v>
      </c>
      <c r="T501" s="8">
        <v>1011</v>
      </c>
      <c r="U501" s="7">
        <f>SUM(E500:G500)/D500*100</f>
        <v>30.943755162162727</v>
      </c>
      <c r="V501" s="7">
        <f>SUM(H500:Q500)/D500*100</f>
        <v>65.989808362629077</v>
      </c>
      <c r="W501" s="7">
        <f>SUM(R500:T500)/D500*100</f>
        <v>3.0664364752082012</v>
      </c>
      <c r="X501" s="7">
        <f>SUM(I500:L500)/D500*100</f>
        <v>30.147328496927301</v>
      </c>
      <c r="Y501" s="7">
        <f>SUM(E500:G500,R500:T500)/SUM(H500:Q500)*100</f>
        <v>51.538551908617706</v>
      </c>
    </row>
    <row r="502" spans="1:25" x14ac:dyDescent="0.25">
      <c r="A502" s="57">
        <v>9603</v>
      </c>
      <c r="B502" t="s">
        <v>82</v>
      </c>
      <c r="C502" t="s">
        <v>577</v>
      </c>
      <c r="D502" s="8">
        <v>110187</v>
      </c>
      <c r="E502" s="8">
        <v>12865</v>
      </c>
      <c r="F502" s="8">
        <v>7333</v>
      </c>
      <c r="G502" s="8">
        <v>11156</v>
      </c>
      <c r="H502" s="8">
        <v>9681</v>
      </c>
      <c r="I502" s="8">
        <v>9179</v>
      </c>
      <c r="J502" s="8">
        <v>10048</v>
      </c>
      <c r="K502" s="8">
        <v>9919</v>
      </c>
      <c r="L502" s="8">
        <v>7821</v>
      </c>
      <c r="M502" s="8">
        <v>7712</v>
      </c>
      <c r="N502" s="8">
        <v>6082</v>
      </c>
      <c r="O502" s="8">
        <v>5368</v>
      </c>
      <c r="P502" s="8">
        <v>5731</v>
      </c>
      <c r="Q502" s="8">
        <v>3498</v>
      </c>
      <c r="R502" s="8">
        <v>2348</v>
      </c>
      <c r="S502" s="8">
        <v>873</v>
      </c>
      <c r="T502" s="8">
        <v>573</v>
      </c>
      <c r="U502" s="7">
        <f>SUM(E501:G501)/D501*100</f>
        <v>28.090165773208636</v>
      </c>
      <c r="V502" s="7">
        <f>SUM(H501:Q501)/D501*100</f>
        <v>68.158857611411506</v>
      </c>
      <c r="W502" s="7">
        <f>SUM(R501:T501)/D501*100</f>
        <v>3.7509766153798552</v>
      </c>
      <c r="X502" s="7">
        <f>SUM(I501:L501)/D501*100</f>
        <v>33.215752709382471</v>
      </c>
      <c r="Y502" s="7">
        <f>SUM(E501:G501,R501:T501)/SUM(H501:Q501)*100</f>
        <v>46.716074042968529</v>
      </c>
    </row>
    <row r="503" spans="1:25" x14ac:dyDescent="0.25">
      <c r="A503" s="57">
        <v>9604</v>
      </c>
      <c r="B503" t="s">
        <v>82</v>
      </c>
      <c r="C503" t="s">
        <v>578</v>
      </c>
      <c r="D503" s="8">
        <v>178421</v>
      </c>
      <c r="E503" s="8">
        <v>15058</v>
      </c>
      <c r="F503" s="8">
        <v>22327</v>
      </c>
      <c r="G503" s="8">
        <v>21014</v>
      </c>
      <c r="H503" s="8">
        <v>15473</v>
      </c>
      <c r="I503" s="8">
        <v>11561</v>
      </c>
      <c r="J503" s="8">
        <v>13167</v>
      </c>
      <c r="K503" s="8">
        <v>13016</v>
      </c>
      <c r="L503" s="8">
        <v>13115</v>
      </c>
      <c r="M503" s="8">
        <v>13247</v>
      </c>
      <c r="N503" s="8">
        <v>11068</v>
      </c>
      <c r="O503" s="8">
        <v>9581</v>
      </c>
      <c r="P503" s="8">
        <v>6624</v>
      </c>
      <c r="Q503" s="8">
        <v>5362</v>
      </c>
      <c r="R503" s="8">
        <v>3411</v>
      </c>
      <c r="S503" s="8">
        <v>2350</v>
      </c>
      <c r="T503" s="8">
        <v>2047</v>
      </c>
      <c r="U503" s="7">
        <f>SUM(E502:G502)/D502*100</f>
        <v>28.455262417526566</v>
      </c>
      <c r="V503" s="7">
        <f>SUM(H502:Q502)/D502*100</f>
        <v>68.101500176971868</v>
      </c>
      <c r="W503" s="7">
        <f>SUM(R502:T502)/D502*100</f>
        <v>3.4432374055015562</v>
      </c>
      <c r="X503" s="7">
        <f>SUM(I502:L502)/D502*100</f>
        <v>33.549329775744866</v>
      </c>
      <c r="Y503" s="7">
        <f>SUM(E502:G502,R502:T502)/SUM(H502:Q502)*100</f>
        <v>46.839643385439572</v>
      </c>
    </row>
    <row r="504" spans="1:25" x14ac:dyDescent="0.25">
      <c r="A504" s="57">
        <v>9605</v>
      </c>
      <c r="B504" t="s">
        <v>82</v>
      </c>
      <c r="C504" t="s">
        <v>579</v>
      </c>
      <c r="D504" s="8">
        <v>243966</v>
      </c>
      <c r="E504" s="8">
        <v>26144</v>
      </c>
      <c r="F504" s="8">
        <v>17336</v>
      </c>
      <c r="G504" s="8">
        <v>15334</v>
      </c>
      <c r="H504" s="8">
        <v>13812</v>
      </c>
      <c r="I504" s="8">
        <v>18479</v>
      </c>
      <c r="J504" s="8">
        <v>25236</v>
      </c>
      <c r="K504" s="8">
        <v>27879</v>
      </c>
      <c r="L504" s="8">
        <v>22489</v>
      </c>
      <c r="M504" s="8">
        <v>20755</v>
      </c>
      <c r="N504" s="8">
        <v>18067</v>
      </c>
      <c r="O504" s="8">
        <v>13864</v>
      </c>
      <c r="P504" s="8">
        <v>10792</v>
      </c>
      <c r="Q504" s="8">
        <v>6063</v>
      </c>
      <c r="R504" s="8">
        <v>4040</v>
      </c>
      <c r="S504" s="8">
        <v>1831</v>
      </c>
      <c r="T504" s="8">
        <v>1845</v>
      </c>
      <c r="U504" s="7">
        <f>SUM(E503:G503)/D503*100</f>
        <v>32.731012605018464</v>
      </c>
      <c r="V504" s="7">
        <f>SUM(H503:Q503)/D503*100</f>
        <v>62.892820912336553</v>
      </c>
      <c r="W504" s="7">
        <f>SUM(R503:T503)/D503*100</f>
        <v>4.3761664826449804</v>
      </c>
      <c r="X504" s="7">
        <f>SUM(I503:L503)/D503*100</f>
        <v>28.505052656357716</v>
      </c>
      <c r="Y504" s="7">
        <f>SUM(E503:G503,R503:T503)/SUM(H503:Q503)*100</f>
        <v>59.00065945425704</v>
      </c>
    </row>
    <row r="505" spans="1:25" x14ac:dyDescent="0.25">
      <c r="A505" s="57">
        <v>9606</v>
      </c>
      <c r="B505" t="s">
        <v>82</v>
      </c>
      <c r="C505" t="s">
        <v>580</v>
      </c>
      <c r="D505" s="8">
        <v>147845</v>
      </c>
      <c r="E505" s="8">
        <v>16228</v>
      </c>
      <c r="F505" s="8">
        <v>6879</v>
      </c>
      <c r="G505" s="8">
        <v>8928</v>
      </c>
      <c r="H505" s="8">
        <v>9490</v>
      </c>
      <c r="I505" s="8">
        <v>11604</v>
      </c>
      <c r="J505" s="8">
        <v>13435</v>
      </c>
      <c r="K505" s="8">
        <v>12394</v>
      </c>
      <c r="L505" s="8">
        <v>12792</v>
      </c>
      <c r="M505" s="8">
        <v>13229</v>
      </c>
      <c r="N505" s="8">
        <v>11624</v>
      </c>
      <c r="O505" s="8">
        <v>10727</v>
      </c>
      <c r="P505" s="8">
        <v>7847</v>
      </c>
      <c r="Q505" s="8">
        <v>5314</v>
      </c>
      <c r="R505" s="8">
        <v>3500</v>
      </c>
      <c r="S505" s="8">
        <v>1901</v>
      </c>
      <c r="T505" s="8">
        <v>1953</v>
      </c>
      <c r="U505" s="7">
        <f>SUM(E504:G504)/D504*100</f>
        <v>24.10745759655034</v>
      </c>
      <c r="V505" s="7">
        <f>SUM(H504:Q504)/D504*100</f>
        <v>72.729806612396814</v>
      </c>
      <c r="W505" s="7">
        <f>SUM(R504:T504)/D504*100</f>
        <v>3.1627357910528517</v>
      </c>
      <c r="X505" s="7">
        <f>SUM(I504:L504)/D504*100</f>
        <v>38.563980226752911</v>
      </c>
      <c r="Y505" s="7">
        <f>SUM(E504:G504,R504:T504)/SUM(H504:Q504)*100</f>
        <v>37.495209540341307</v>
      </c>
    </row>
    <row r="506" spans="1:25" x14ac:dyDescent="0.25">
      <c r="A506" s="57">
        <v>9607</v>
      </c>
      <c r="B506" t="s">
        <v>82</v>
      </c>
      <c r="C506" t="s">
        <v>581</v>
      </c>
      <c r="D506" s="8">
        <v>126152</v>
      </c>
      <c r="E506" s="8">
        <v>13536</v>
      </c>
      <c r="F506" s="8">
        <v>5314</v>
      </c>
      <c r="G506" s="8">
        <v>8485</v>
      </c>
      <c r="H506" s="8">
        <v>9612</v>
      </c>
      <c r="I506" s="8">
        <v>9922</v>
      </c>
      <c r="J506" s="8">
        <v>11591</v>
      </c>
      <c r="K506" s="8">
        <v>11593</v>
      </c>
      <c r="L506" s="8">
        <v>9587</v>
      </c>
      <c r="M506" s="8">
        <v>10618</v>
      </c>
      <c r="N506" s="8">
        <v>10884</v>
      </c>
      <c r="O506" s="8">
        <v>10293</v>
      </c>
      <c r="P506" s="8">
        <v>6399</v>
      </c>
      <c r="Q506" s="8">
        <v>4180</v>
      </c>
      <c r="R506" s="8">
        <v>2326</v>
      </c>
      <c r="S506" s="8">
        <v>1111</v>
      </c>
      <c r="T506" s="8">
        <v>701</v>
      </c>
      <c r="U506" s="7">
        <f>SUM(E505:G505)/D505*100</f>
        <v>21.667963069430822</v>
      </c>
      <c r="V506" s="7">
        <f>SUM(H505:Q505)/D505*100</f>
        <v>73.357908620514735</v>
      </c>
      <c r="W506" s="7">
        <f>SUM(R505:T505)/D505*100</f>
        <v>4.9741283100544482</v>
      </c>
      <c r="X506" s="7">
        <f>SUM(I505:L505)/D505*100</f>
        <v>33.971388954648454</v>
      </c>
      <c r="Y506" s="7">
        <f>SUM(E505:G505,R505:T505)/SUM(H505:Q505)*100</f>
        <v>36.317953824592465</v>
      </c>
    </row>
    <row r="507" spans="1:25" x14ac:dyDescent="0.25">
      <c r="A507" s="57">
        <v>9608</v>
      </c>
      <c r="B507" t="s">
        <v>82</v>
      </c>
      <c r="C507" t="s">
        <v>582</v>
      </c>
      <c r="D507" s="8">
        <v>239596</v>
      </c>
      <c r="E507" s="8">
        <v>21939</v>
      </c>
      <c r="F507" s="8">
        <v>8485</v>
      </c>
      <c r="G507" s="8">
        <v>10631</v>
      </c>
      <c r="H507" s="8">
        <v>15478</v>
      </c>
      <c r="I507" s="8">
        <v>19961</v>
      </c>
      <c r="J507" s="8">
        <v>17722</v>
      </c>
      <c r="K507" s="8">
        <v>18799</v>
      </c>
      <c r="L507" s="8">
        <v>22159</v>
      </c>
      <c r="M507" s="8">
        <v>25177</v>
      </c>
      <c r="N507" s="8">
        <v>21414</v>
      </c>
      <c r="O507" s="8">
        <v>19167</v>
      </c>
      <c r="P507" s="8">
        <v>14509</v>
      </c>
      <c r="Q507" s="8">
        <v>11406</v>
      </c>
      <c r="R507" s="8">
        <v>6034</v>
      </c>
      <c r="S507" s="8">
        <v>3450</v>
      </c>
      <c r="T507" s="8">
        <v>3265</v>
      </c>
      <c r="U507" s="7">
        <f>SUM(E506:G506)/D506*100</f>
        <v>21.668304902022957</v>
      </c>
      <c r="V507" s="7">
        <f>SUM(H506:Q506)/D506*100</f>
        <v>75.0515251442704</v>
      </c>
      <c r="W507" s="7">
        <f>SUM(R506:T506)/D506*100</f>
        <v>3.2801699537066393</v>
      </c>
      <c r="X507" s="7">
        <f>SUM(I506:L506)/D506*100</f>
        <v>33.842507451328558</v>
      </c>
      <c r="Y507" s="7">
        <f>SUM(E506:G506,R506:T506)/SUM(H506:Q506)*100</f>
        <v>33.241795963201973</v>
      </c>
    </row>
    <row r="508" spans="1:25" x14ac:dyDescent="0.25">
      <c r="A508" s="57">
        <v>9701</v>
      </c>
      <c r="B508" t="s">
        <v>83</v>
      </c>
      <c r="C508" t="s">
        <v>583</v>
      </c>
      <c r="D508" s="8">
        <v>116376</v>
      </c>
      <c r="E508" s="8">
        <v>10897</v>
      </c>
      <c r="F508" s="8">
        <v>5140</v>
      </c>
      <c r="G508" s="8">
        <v>8531</v>
      </c>
      <c r="H508" s="8">
        <v>9444</v>
      </c>
      <c r="I508" s="8">
        <v>9351</v>
      </c>
      <c r="J508" s="8">
        <v>9442</v>
      </c>
      <c r="K508" s="8">
        <v>10580</v>
      </c>
      <c r="L508" s="8">
        <v>10258</v>
      </c>
      <c r="M508" s="8">
        <v>11361</v>
      </c>
      <c r="N508" s="8">
        <v>11348</v>
      </c>
      <c r="O508" s="8">
        <v>9036</v>
      </c>
      <c r="P508" s="8">
        <v>5834</v>
      </c>
      <c r="Q508" s="8">
        <v>2927</v>
      </c>
      <c r="R508" s="8">
        <v>1736</v>
      </c>
      <c r="S508" s="8">
        <v>364</v>
      </c>
      <c r="T508" s="8">
        <v>127</v>
      </c>
      <c r="U508" s="7">
        <f>SUM(E507:G507)/D507*100</f>
        <v>17.135094075026295</v>
      </c>
      <c r="V508" s="7">
        <f>SUM(H507:Q507)/D507*100</f>
        <v>77.543865506936683</v>
      </c>
      <c r="W508" s="7">
        <f>SUM(R507:T507)/D507*100</f>
        <v>5.321040418037029</v>
      </c>
      <c r="X508" s="7">
        <f>SUM(I507:L507)/D507*100</f>
        <v>32.822334262675504</v>
      </c>
      <c r="Y508" s="7">
        <f>SUM(E507:G507,R507:T507)/SUM(H507:Q507)*100</f>
        <v>28.959266276265932</v>
      </c>
    </row>
    <row r="509" spans="1:25" x14ac:dyDescent="0.25">
      <c r="A509" s="57">
        <v>9702</v>
      </c>
      <c r="B509" t="s">
        <v>83</v>
      </c>
      <c r="C509" t="s">
        <v>584</v>
      </c>
      <c r="D509" s="8">
        <v>286601</v>
      </c>
      <c r="E509" s="8">
        <v>25062</v>
      </c>
      <c r="F509" s="8">
        <v>21496</v>
      </c>
      <c r="G509" s="8">
        <v>24755</v>
      </c>
      <c r="H509" s="8">
        <v>20958</v>
      </c>
      <c r="I509" s="8">
        <v>23791</v>
      </c>
      <c r="J509" s="8">
        <v>27480</v>
      </c>
      <c r="K509" s="8">
        <v>24292</v>
      </c>
      <c r="L509" s="8">
        <v>21529</v>
      </c>
      <c r="M509" s="8">
        <v>18470</v>
      </c>
      <c r="N509" s="8">
        <v>17949</v>
      </c>
      <c r="O509" s="8">
        <v>16985</v>
      </c>
      <c r="P509" s="8">
        <v>14580</v>
      </c>
      <c r="Q509" s="8">
        <v>12165</v>
      </c>
      <c r="R509" s="8">
        <v>8845</v>
      </c>
      <c r="S509" s="8">
        <v>4729</v>
      </c>
      <c r="T509" s="8">
        <v>3515</v>
      </c>
      <c r="U509" s="7">
        <f>SUM(E508:G508)/D508*100</f>
        <v>21.110881968790814</v>
      </c>
      <c r="V509" s="7">
        <f>SUM(H508:Q508)/D508*100</f>
        <v>76.975493228844442</v>
      </c>
      <c r="W509" s="7">
        <f>SUM(R508:T508)/D508*100</f>
        <v>1.9136248023647489</v>
      </c>
      <c r="X509" s="7">
        <f>SUM(I508:L508)/D508*100</f>
        <v>34.054272358561903</v>
      </c>
      <c r="Y509" s="7">
        <f>SUM(E508:G508,R508:T508)/SUM(H508:Q508)*100</f>
        <v>29.911476764045947</v>
      </c>
    </row>
    <row r="510" spans="1:25" x14ac:dyDescent="0.25">
      <c r="A510" s="57">
        <v>9703</v>
      </c>
      <c r="B510" t="s">
        <v>83</v>
      </c>
      <c r="C510" t="s">
        <v>585</v>
      </c>
      <c r="D510" s="8">
        <v>213985</v>
      </c>
      <c r="E510" s="8">
        <v>21760</v>
      </c>
      <c r="F510" s="8">
        <v>12764</v>
      </c>
      <c r="G510" s="8">
        <v>11235</v>
      </c>
      <c r="H510" s="8">
        <v>12071</v>
      </c>
      <c r="I510" s="8">
        <v>16479</v>
      </c>
      <c r="J510" s="8">
        <v>24273</v>
      </c>
      <c r="K510" s="8">
        <v>18714</v>
      </c>
      <c r="L510" s="8">
        <v>14088</v>
      </c>
      <c r="M510" s="8">
        <v>15226</v>
      </c>
      <c r="N510" s="8">
        <v>20780</v>
      </c>
      <c r="O510" s="8">
        <v>16652</v>
      </c>
      <c r="P510" s="8">
        <v>13731</v>
      </c>
      <c r="Q510" s="8">
        <v>7730</v>
      </c>
      <c r="R510" s="8">
        <v>4702</v>
      </c>
      <c r="S510" s="8">
        <v>2274</v>
      </c>
      <c r="T510" s="8">
        <v>1506</v>
      </c>
      <c r="U510" s="7">
        <f>SUM(E509:G509)/D509*100</f>
        <v>24.882327695995478</v>
      </c>
      <c r="V510" s="7">
        <f>SUM(H509:Q509)/D509*100</f>
        <v>69.155027372549299</v>
      </c>
      <c r="W510" s="7">
        <f>SUM(R509:T509)/D509*100</f>
        <v>5.9626449314552286</v>
      </c>
      <c r="X510" s="7">
        <f>SUM(I509:L509)/D509*100</f>
        <v>33.877062536418229</v>
      </c>
      <c r="Y510" s="7">
        <f>SUM(E509:G509,R509:T509)/SUM(H509:Q509)*100</f>
        <v>44.602646834746892</v>
      </c>
    </row>
    <row r="511" spans="1:25" x14ac:dyDescent="0.25">
      <c r="A511" s="57">
        <v>9704</v>
      </c>
      <c r="B511" t="s">
        <v>83</v>
      </c>
      <c r="C511" t="s">
        <v>586</v>
      </c>
      <c r="D511" s="8">
        <v>250038</v>
      </c>
      <c r="E511" s="8">
        <v>22621</v>
      </c>
      <c r="F511" s="8">
        <v>12918</v>
      </c>
      <c r="G511" s="8">
        <v>11143</v>
      </c>
      <c r="H511" s="8">
        <v>12406</v>
      </c>
      <c r="I511" s="8">
        <v>15273</v>
      </c>
      <c r="J511" s="8">
        <v>19318</v>
      </c>
      <c r="K511" s="8">
        <v>22176</v>
      </c>
      <c r="L511" s="8">
        <v>24541</v>
      </c>
      <c r="M511" s="8">
        <v>22408</v>
      </c>
      <c r="N511" s="8">
        <v>18907</v>
      </c>
      <c r="O511" s="8">
        <v>15373</v>
      </c>
      <c r="P511" s="8">
        <v>15304</v>
      </c>
      <c r="Q511" s="8">
        <v>13436</v>
      </c>
      <c r="R511" s="8">
        <v>12229</v>
      </c>
      <c r="S511" s="8">
        <v>7366</v>
      </c>
      <c r="T511" s="8">
        <v>4619</v>
      </c>
      <c r="U511" s="7">
        <f>SUM(E510:G510)/D510*100</f>
        <v>21.384209173540199</v>
      </c>
      <c r="V511" s="7">
        <f>SUM(H510:Q510)/D510*100</f>
        <v>74.651961586092483</v>
      </c>
      <c r="W511" s="7">
        <f>SUM(R510:T510)/D510*100</f>
        <v>3.9638292403673154</v>
      </c>
      <c r="X511" s="7">
        <f>SUM(I510:L510)/D510*100</f>
        <v>34.373437390471295</v>
      </c>
      <c r="Y511" s="7">
        <f>SUM(E510:G510,R510:T510)/SUM(H510:Q510)*100</f>
        <v>33.954952924679489</v>
      </c>
    </row>
    <row r="512" spans="1:25" x14ac:dyDescent="0.25">
      <c r="A512" s="57">
        <v>9705</v>
      </c>
      <c r="B512" t="s">
        <v>83</v>
      </c>
      <c r="C512" t="s">
        <v>587</v>
      </c>
      <c r="D512" s="8">
        <v>55074</v>
      </c>
      <c r="E512" s="8">
        <v>5085</v>
      </c>
      <c r="F512" s="8">
        <v>5146</v>
      </c>
      <c r="G512" s="8">
        <v>5741</v>
      </c>
      <c r="H512" s="8">
        <v>4353</v>
      </c>
      <c r="I512" s="8">
        <v>4988</v>
      </c>
      <c r="J512" s="8">
        <v>4653</v>
      </c>
      <c r="K512" s="8">
        <v>4089</v>
      </c>
      <c r="L512" s="8">
        <v>4576</v>
      </c>
      <c r="M512" s="8">
        <v>3979</v>
      </c>
      <c r="N512" s="8">
        <v>4222</v>
      </c>
      <c r="O512" s="8">
        <v>3075</v>
      </c>
      <c r="P512" s="8">
        <v>2594</v>
      </c>
      <c r="Q512" s="8">
        <v>1592</v>
      </c>
      <c r="R512" s="8">
        <v>653</v>
      </c>
      <c r="S512" s="8">
        <v>206</v>
      </c>
      <c r="T512" s="8">
        <v>122</v>
      </c>
      <c r="U512" s="7">
        <f>SUM(E511:G511)/D511*100</f>
        <v>18.669962165750807</v>
      </c>
      <c r="V512" s="7">
        <f>SUM(H511:Q511)/D511*100</f>
        <v>71.645909821707093</v>
      </c>
      <c r="W512" s="7">
        <f>SUM(R511:T511)/D511*100</f>
        <v>9.6841280125420948</v>
      </c>
      <c r="X512" s="7">
        <f>SUM(I511:L511)/D511*100</f>
        <v>32.518257224901816</v>
      </c>
      <c r="Y512" s="7">
        <f>SUM(E511:G511,R511:T511)/SUM(H511:Q511)*100</f>
        <v>39.575308972770209</v>
      </c>
    </row>
    <row r="513" spans="1:25" x14ac:dyDescent="0.25">
      <c r="A513" s="57">
        <v>9706</v>
      </c>
      <c r="B513" t="s">
        <v>83</v>
      </c>
      <c r="C513" t="s">
        <v>588</v>
      </c>
      <c r="D513" s="8">
        <v>111371</v>
      </c>
      <c r="E513" s="8">
        <v>11159</v>
      </c>
      <c r="F513" s="8">
        <v>6323</v>
      </c>
      <c r="G513" s="8">
        <v>10993</v>
      </c>
      <c r="H513" s="8">
        <v>9002</v>
      </c>
      <c r="I513" s="8">
        <v>8447</v>
      </c>
      <c r="J513" s="8">
        <v>9029</v>
      </c>
      <c r="K513" s="8">
        <v>10034</v>
      </c>
      <c r="L513" s="8">
        <v>9513</v>
      </c>
      <c r="M513" s="8">
        <v>8476</v>
      </c>
      <c r="N513" s="8">
        <v>7329</v>
      </c>
      <c r="O513" s="8">
        <v>6840</v>
      </c>
      <c r="P513" s="8">
        <v>6872</v>
      </c>
      <c r="Q513" s="8">
        <v>3545</v>
      </c>
      <c r="R513" s="8">
        <v>2460</v>
      </c>
      <c r="S513" s="8">
        <v>882</v>
      </c>
      <c r="T513" s="8">
        <v>467</v>
      </c>
      <c r="U513" s="7">
        <f>SUM(E512:G512)/D512*100</f>
        <v>29.000980498965028</v>
      </c>
      <c r="V513" s="7">
        <f>SUM(H512:Q512)/D512*100</f>
        <v>69.21777971456585</v>
      </c>
      <c r="W513" s="7">
        <f>SUM(R512:T512)/D512*100</f>
        <v>1.7812397864691143</v>
      </c>
      <c r="X513" s="7">
        <f>SUM(I512:L512)/D512*100</f>
        <v>33.238914914478698</v>
      </c>
      <c r="Y513" s="7">
        <f>SUM(E512:G512,R512:T512)/SUM(H512:Q512)*100</f>
        <v>44.471551113559457</v>
      </c>
    </row>
    <row r="514" spans="1:25" x14ac:dyDescent="0.25">
      <c r="A514" s="57">
        <v>9707</v>
      </c>
      <c r="B514" t="s">
        <v>83</v>
      </c>
      <c r="C514" t="s">
        <v>589</v>
      </c>
      <c r="D514" s="8">
        <v>382349</v>
      </c>
      <c r="E514" s="8">
        <v>40232</v>
      </c>
      <c r="F514" s="8">
        <v>15548</v>
      </c>
      <c r="G514" s="8">
        <v>14311</v>
      </c>
      <c r="H514" s="8">
        <v>19659</v>
      </c>
      <c r="I514" s="8">
        <v>32601</v>
      </c>
      <c r="J514" s="8">
        <v>40758</v>
      </c>
      <c r="K514" s="8">
        <v>42835</v>
      </c>
      <c r="L514" s="8">
        <v>36868</v>
      </c>
      <c r="M514" s="8">
        <v>28522</v>
      </c>
      <c r="N514" s="8">
        <v>29384</v>
      </c>
      <c r="O514" s="8">
        <v>25403</v>
      </c>
      <c r="P514" s="8">
        <v>21146</v>
      </c>
      <c r="Q514" s="8">
        <v>16882</v>
      </c>
      <c r="R514" s="8">
        <v>9570</v>
      </c>
      <c r="S514" s="8">
        <v>5509</v>
      </c>
      <c r="T514" s="8">
        <v>3121</v>
      </c>
      <c r="U514" s="7">
        <f>SUM(E513:G513)/D513*100</f>
        <v>25.567697156351294</v>
      </c>
      <c r="V514" s="7">
        <f>SUM(H513:Q513)/D513*100</f>
        <v>71.012202458449693</v>
      </c>
      <c r="W514" s="7">
        <f>SUM(R513:T513)/D513*100</f>
        <v>3.4201003851990195</v>
      </c>
      <c r="X514" s="7">
        <f>SUM(I513:L513)/D513*100</f>
        <v>33.242944752224545</v>
      </c>
      <c r="Y514" s="7">
        <f>SUM(E513:G513,R513:T513)/SUM(H513:Q513)*100</f>
        <v>40.820868157851478</v>
      </c>
    </row>
    <row r="515" spans="1:25" x14ac:dyDescent="0.25">
      <c r="A515" s="57">
        <v>9708</v>
      </c>
      <c r="B515" t="s">
        <v>83</v>
      </c>
      <c r="C515" t="s">
        <v>590</v>
      </c>
      <c r="D515" s="8">
        <v>86070</v>
      </c>
      <c r="E515" s="8">
        <v>9046</v>
      </c>
      <c r="F515" s="8">
        <v>7808</v>
      </c>
      <c r="G515" s="8">
        <v>9176</v>
      </c>
      <c r="H515" s="8">
        <v>7586</v>
      </c>
      <c r="I515" s="8">
        <v>6904</v>
      </c>
      <c r="J515" s="8">
        <v>6914</v>
      </c>
      <c r="K515" s="8">
        <v>6871</v>
      </c>
      <c r="L515" s="8">
        <v>7088</v>
      </c>
      <c r="M515" s="8">
        <v>6443</v>
      </c>
      <c r="N515" s="8">
        <v>5955</v>
      </c>
      <c r="O515" s="8">
        <v>4736</v>
      </c>
      <c r="P515" s="8">
        <v>3538</v>
      </c>
      <c r="Q515" s="8">
        <v>2340</v>
      </c>
      <c r="R515" s="8">
        <v>1188</v>
      </c>
      <c r="S515" s="8">
        <v>306</v>
      </c>
      <c r="T515" s="8">
        <v>171</v>
      </c>
      <c r="U515" s="7">
        <f t="shared" ref="U515" si="36">SUM(E514:G514)/D514*100</f>
        <v>18.331681265022269</v>
      </c>
      <c r="V515" s="7">
        <f t="shared" ref="V515" si="37">SUM(H514:Q514)/D514*100</f>
        <v>76.908269669856594</v>
      </c>
      <c r="W515" s="7">
        <f t="shared" ref="W515" si="38">SUM(R514:T514)/D514*100</f>
        <v>4.7600490651211329</v>
      </c>
      <c r="X515" s="7">
        <f>SUM(I514:L514)/D514*100</f>
        <v>40.032012637668728</v>
      </c>
      <c r="Y515" s="7">
        <f t="shared" ref="Y515" si="39">SUM(E514:G514,R514:T514)/SUM(H514:Q514)*100</f>
        <v>30.02502907589659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O516"/>
  <sheetViews>
    <sheetView zoomScaleNormal="100" workbookViewId="0">
      <pane xSplit="3" ySplit="2" topLeftCell="D20" activePane="bottomRight" state="frozen"/>
      <selection pane="topRight" activeCell="E1" sqref="E1"/>
      <selection pane="bottomLeft" activeCell="A2" sqref="A2"/>
      <selection pane="bottomRight" activeCell="A3" sqref="A3:C516"/>
    </sheetView>
  </sheetViews>
  <sheetFormatPr defaultColWidth="8.7109375" defaultRowHeight="15" x14ac:dyDescent="0.25"/>
  <cols>
    <col min="1" max="1" width="14" customWidth="1"/>
    <col min="2" max="2" width="24" customWidth="1"/>
    <col min="3" max="3" width="28" customWidth="1"/>
    <col min="4" max="5" width="14" customWidth="1"/>
    <col min="6" max="13" width="9" customWidth="1"/>
    <col min="14" max="14" width="11" customWidth="1"/>
    <col min="15" max="15" width="14" customWidth="1"/>
  </cols>
  <sheetData>
    <row r="1" spans="1:15" ht="15" customHeight="1" x14ac:dyDescent="0.25">
      <c r="A1" s="12" t="s">
        <v>0</v>
      </c>
      <c r="B1" s="12" t="s">
        <v>1</v>
      </c>
      <c r="C1" s="12" t="s">
        <v>3</v>
      </c>
      <c r="D1" s="12" t="s">
        <v>24</v>
      </c>
      <c r="E1" s="12"/>
      <c r="F1" s="13" t="s">
        <v>592</v>
      </c>
      <c r="G1" s="13"/>
      <c r="H1" s="13"/>
      <c r="I1" s="13"/>
      <c r="J1" s="13" t="s">
        <v>593</v>
      </c>
      <c r="K1" s="13"/>
      <c r="L1" s="13"/>
      <c r="M1" s="13"/>
    </row>
    <row r="2" spans="1:15" ht="31.5" customHeight="1" x14ac:dyDescent="0.25">
      <c r="A2" s="13"/>
      <c r="B2" s="13"/>
      <c r="C2" s="13"/>
      <c r="D2" s="14" t="s">
        <v>592</v>
      </c>
      <c r="E2" s="14" t="s">
        <v>593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28</v>
      </c>
      <c r="K2" s="4" t="s">
        <v>29</v>
      </c>
      <c r="L2" s="4" t="s">
        <v>30</v>
      </c>
      <c r="M2" s="4" t="s">
        <v>31</v>
      </c>
      <c r="N2" s="6" t="s">
        <v>32</v>
      </c>
      <c r="O2" s="6" t="s">
        <v>594</v>
      </c>
    </row>
    <row r="3" spans="1:15" x14ac:dyDescent="0.25">
      <c r="A3" s="57">
        <v>1101</v>
      </c>
      <c r="B3" t="s">
        <v>2</v>
      </c>
      <c r="C3" t="s">
        <v>4</v>
      </c>
      <c r="D3" s="8">
        <v>52055</v>
      </c>
      <c r="E3" s="8">
        <v>49549</v>
      </c>
      <c r="F3" s="8">
        <v>5020</v>
      </c>
      <c r="G3" s="8">
        <v>4626</v>
      </c>
      <c r="H3" s="8">
        <v>4022</v>
      </c>
      <c r="I3" s="8">
        <v>3766</v>
      </c>
      <c r="J3" s="8">
        <v>4527</v>
      </c>
      <c r="K3" s="8">
        <v>4293</v>
      </c>
      <c r="L3" s="8">
        <v>3887</v>
      </c>
      <c r="M3" s="8">
        <v>3546</v>
      </c>
      <c r="N3" s="7">
        <f>D3/E3*100</f>
        <v>105.05761972996427</v>
      </c>
      <c r="O3" s="7">
        <f>SUM(F3:I3)/SUM(J3:M3)*100</f>
        <v>107.26635082753953</v>
      </c>
    </row>
    <row r="4" spans="1:15" x14ac:dyDescent="0.25">
      <c r="A4" s="57">
        <v>1102</v>
      </c>
      <c r="B4" t="s">
        <v>2</v>
      </c>
      <c r="C4" t="s">
        <v>84</v>
      </c>
      <c r="D4" s="8">
        <v>70950</v>
      </c>
      <c r="E4" s="8">
        <v>69482</v>
      </c>
      <c r="F4" s="8">
        <v>6751</v>
      </c>
      <c r="G4" s="8">
        <v>6280</v>
      </c>
      <c r="H4" s="8">
        <v>5478</v>
      </c>
      <c r="I4" s="8">
        <v>4780</v>
      </c>
      <c r="J4" s="8">
        <v>6432</v>
      </c>
      <c r="K4" s="8">
        <v>6122</v>
      </c>
      <c r="L4" s="8">
        <v>5434</v>
      </c>
      <c r="M4" s="8">
        <v>4836</v>
      </c>
      <c r="N4" s="7">
        <f t="shared" ref="N4:N67" si="0">D4/E4*100</f>
        <v>102.11277740997669</v>
      </c>
      <c r="O4" s="7">
        <f t="shared" ref="O4:O67" si="1">SUM(F4:I4)/SUM(J4:M4)*100</f>
        <v>102.03732912723449</v>
      </c>
    </row>
    <row r="5" spans="1:15" x14ac:dyDescent="0.25">
      <c r="A5" s="57">
        <v>1103</v>
      </c>
      <c r="B5" t="s">
        <v>2</v>
      </c>
      <c r="C5" t="s">
        <v>85</v>
      </c>
      <c r="D5" s="8">
        <v>124009</v>
      </c>
      <c r="E5" s="8">
        <v>122892</v>
      </c>
      <c r="F5" s="8">
        <v>10261</v>
      </c>
      <c r="G5" s="8">
        <v>11625</v>
      </c>
      <c r="H5" s="8">
        <v>10702</v>
      </c>
      <c r="I5" s="8">
        <v>9335</v>
      </c>
      <c r="J5" s="8">
        <v>9673</v>
      </c>
      <c r="K5" s="8">
        <v>10624</v>
      </c>
      <c r="L5" s="8">
        <v>9690</v>
      </c>
      <c r="M5" s="8">
        <v>8739</v>
      </c>
      <c r="N5" s="7">
        <f t="shared" si="0"/>
        <v>100.90892816456727</v>
      </c>
      <c r="O5" s="7">
        <f t="shared" si="1"/>
        <v>108.25543562464495</v>
      </c>
    </row>
    <row r="6" spans="1:15" x14ac:dyDescent="0.25">
      <c r="A6" s="57">
        <v>1104</v>
      </c>
      <c r="B6" t="s">
        <v>2</v>
      </c>
      <c r="C6" t="s">
        <v>86</v>
      </c>
      <c r="D6" s="8">
        <v>121502</v>
      </c>
      <c r="E6" s="8">
        <v>119826</v>
      </c>
      <c r="F6" s="8">
        <v>11378</v>
      </c>
      <c r="G6" s="8">
        <v>10816</v>
      </c>
      <c r="H6" s="8">
        <v>10184</v>
      </c>
      <c r="I6" s="8">
        <v>8887</v>
      </c>
      <c r="J6" s="8">
        <v>10372</v>
      </c>
      <c r="K6" s="8">
        <v>10398</v>
      </c>
      <c r="L6" s="8">
        <v>9445</v>
      </c>
      <c r="M6" s="8">
        <v>8436</v>
      </c>
      <c r="N6" s="7">
        <f t="shared" si="0"/>
        <v>101.39869477408909</v>
      </c>
      <c r="O6" s="7">
        <f t="shared" si="1"/>
        <v>106.76308504307779</v>
      </c>
    </row>
    <row r="7" spans="1:15" x14ac:dyDescent="0.25">
      <c r="A7" s="57">
        <v>1105</v>
      </c>
      <c r="B7" t="s">
        <v>2</v>
      </c>
      <c r="C7" t="s">
        <v>87</v>
      </c>
      <c r="D7" s="8">
        <v>228322</v>
      </c>
      <c r="E7" s="8">
        <v>226109</v>
      </c>
      <c r="F7" s="8">
        <v>21611</v>
      </c>
      <c r="G7" s="8">
        <v>19135</v>
      </c>
      <c r="H7" s="8">
        <v>17846</v>
      </c>
      <c r="I7" s="8">
        <v>17102</v>
      </c>
      <c r="J7" s="8">
        <v>19992</v>
      </c>
      <c r="K7" s="8">
        <v>18334</v>
      </c>
      <c r="L7" s="8">
        <v>16956</v>
      </c>
      <c r="M7" s="8">
        <v>16954</v>
      </c>
      <c r="N7" s="7">
        <f t="shared" si="0"/>
        <v>100.97873149675598</v>
      </c>
      <c r="O7" s="7">
        <f t="shared" si="1"/>
        <v>104.78708677113903</v>
      </c>
    </row>
    <row r="8" spans="1:15" x14ac:dyDescent="0.25">
      <c r="A8" s="57">
        <v>1106</v>
      </c>
      <c r="B8" t="s">
        <v>2</v>
      </c>
      <c r="C8" t="s">
        <v>88</v>
      </c>
      <c r="D8" s="8">
        <v>117672</v>
      </c>
      <c r="E8" s="8">
        <v>114753</v>
      </c>
      <c r="F8" s="8">
        <v>9844</v>
      </c>
      <c r="G8" s="8">
        <v>9768</v>
      </c>
      <c r="H8" s="8">
        <v>8867</v>
      </c>
      <c r="I8" s="8">
        <v>8331</v>
      </c>
      <c r="J8" s="8">
        <v>9435</v>
      </c>
      <c r="K8" s="8">
        <v>9499</v>
      </c>
      <c r="L8" s="8">
        <v>8720</v>
      </c>
      <c r="M8" s="8">
        <v>8056</v>
      </c>
      <c r="N8" s="7">
        <f t="shared" si="0"/>
        <v>102.54372434707591</v>
      </c>
      <c r="O8" s="7">
        <f t="shared" si="1"/>
        <v>103.08036964435732</v>
      </c>
    </row>
    <row r="9" spans="1:15" x14ac:dyDescent="0.25">
      <c r="A9" s="57">
        <v>1107</v>
      </c>
      <c r="B9" t="s">
        <v>2</v>
      </c>
      <c r="C9" t="s">
        <v>89</v>
      </c>
      <c r="D9" s="8">
        <v>106369</v>
      </c>
      <c r="E9" s="8">
        <v>104369</v>
      </c>
      <c r="F9" s="8">
        <v>8111</v>
      </c>
      <c r="G9" s="8">
        <v>8161</v>
      </c>
      <c r="H9" s="8">
        <v>8438</v>
      </c>
      <c r="I9" s="8">
        <v>7875</v>
      </c>
      <c r="J9" s="8">
        <v>7754</v>
      </c>
      <c r="K9" s="8">
        <v>7766</v>
      </c>
      <c r="L9" s="8">
        <v>7976</v>
      </c>
      <c r="M9" s="8">
        <v>8186</v>
      </c>
      <c r="N9" s="7">
        <f t="shared" si="0"/>
        <v>101.91627782195863</v>
      </c>
      <c r="O9" s="7">
        <f t="shared" si="1"/>
        <v>102.85019885108264</v>
      </c>
    </row>
    <row r="10" spans="1:15" x14ac:dyDescent="0.25">
      <c r="A10" s="57">
        <v>1108</v>
      </c>
      <c r="B10" t="s">
        <v>2</v>
      </c>
      <c r="C10" t="s">
        <v>90</v>
      </c>
      <c r="D10" s="8">
        <v>221637</v>
      </c>
      <c r="E10" s="8">
        <v>218116</v>
      </c>
      <c r="F10" s="8">
        <v>18070</v>
      </c>
      <c r="G10" s="8">
        <v>16077</v>
      </c>
      <c r="H10" s="8">
        <v>16694</v>
      </c>
      <c r="I10" s="8">
        <v>17006</v>
      </c>
      <c r="J10" s="8">
        <v>16621</v>
      </c>
      <c r="K10" s="8">
        <v>15448</v>
      </c>
      <c r="L10" s="8">
        <v>17107</v>
      </c>
      <c r="M10" s="8">
        <v>17294</v>
      </c>
      <c r="N10" s="7">
        <f t="shared" si="0"/>
        <v>101.61427864072327</v>
      </c>
      <c r="O10" s="7">
        <f t="shared" si="1"/>
        <v>102.07161125319692</v>
      </c>
    </row>
    <row r="11" spans="1:15" x14ac:dyDescent="0.25">
      <c r="A11" s="57">
        <v>1109</v>
      </c>
      <c r="B11" t="s">
        <v>2</v>
      </c>
      <c r="C11" t="s">
        <v>91</v>
      </c>
      <c r="D11" s="8">
        <v>230226</v>
      </c>
      <c r="E11" s="8">
        <v>231028</v>
      </c>
      <c r="F11" s="8">
        <v>19498</v>
      </c>
      <c r="G11" s="8">
        <v>19311</v>
      </c>
      <c r="H11" s="8">
        <v>19466</v>
      </c>
      <c r="I11" s="8">
        <v>18775</v>
      </c>
      <c r="J11" s="8">
        <v>18819</v>
      </c>
      <c r="K11" s="8">
        <v>18140</v>
      </c>
      <c r="L11" s="8">
        <v>17930</v>
      </c>
      <c r="M11" s="8">
        <v>17510</v>
      </c>
      <c r="N11" s="7">
        <f t="shared" si="0"/>
        <v>99.652855930882836</v>
      </c>
      <c r="O11" s="7">
        <f t="shared" si="1"/>
        <v>106.42412188013645</v>
      </c>
    </row>
    <row r="12" spans="1:15" x14ac:dyDescent="0.25">
      <c r="A12" s="57">
        <v>1110</v>
      </c>
      <c r="B12" t="s">
        <v>2</v>
      </c>
      <c r="C12" t="s">
        <v>92</v>
      </c>
      <c r="D12" s="8">
        <v>233007</v>
      </c>
      <c r="E12" s="8">
        <v>237351</v>
      </c>
      <c r="F12" s="8">
        <v>19678</v>
      </c>
      <c r="G12" s="8">
        <v>19415</v>
      </c>
      <c r="H12" s="8">
        <v>18996</v>
      </c>
      <c r="I12" s="8">
        <v>18049</v>
      </c>
      <c r="J12" s="8">
        <v>18710</v>
      </c>
      <c r="K12" s="8">
        <v>18627</v>
      </c>
      <c r="L12" s="8">
        <v>18275</v>
      </c>
      <c r="M12" s="8">
        <v>17506</v>
      </c>
      <c r="N12" s="7">
        <f t="shared" si="0"/>
        <v>98.169799158208733</v>
      </c>
      <c r="O12" s="7">
        <f t="shared" si="1"/>
        <v>104.13030991000849</v>
      </c>
    </row>
    <row r="13" spans="1:15" x14ac:dyDescent="0.25">
      <c r="A13" s="57">
        <v>1111</v>
      </c>
      <c r="B13" t="s">
        <v>2</v>
      </c>
      <c r="C13" t="s">
        <v>93</v>
      </c>
      <c r="D13" s="8">
        <v>323291</v>
      </c>
      <c r="E13" s="8">
        <v>322511</v>
      </c>
      <c r="F13" s="8">
        <v>28950</v>
      </c>
      <c r="G13" s="8">
        <v>28186</v>
      </c>
      <c r="H13" s="8">
        <v>26358</v>
      </c>
      <c r="I13" s="8">
        <v>25313</v>
      </c>
      <c r="J13" s="8">
        <v>27444</v>
      </c>
      <c r="K13" s="8">
        <v>26943</v>
      </c>
      <c r="L13" s="8">
        <v>25311</v>
      </c>
      <c r="M13" s="8">
        <v>24519</v>
      </c>
      <c r="N13" s="7">
        <f t="shared" si="0"/>
        <v>100.24185221589342</v>
      </c>
      <c r="O13" s="7">
        <f t="shared" si="1"/>
        <v>104.40427185583926</v>
      </c>
    </row>
    <row r="14" spans="1:15" x14ac:dyDescent="0.25">
      <c r="A14" s="57">
        <v>1112</v>
      </c>
      <c r="B14" t="s">
        <v>2</v>
      </c>
      <c r="C14" t="s">
        <v>94</v>
      </c>
      <c r="D14" s="8">
        <v>82646</v>
      </c>
      <c r="E14" s="8">
        <v>80818</v>
      </c>
      <c r="F14" s="8">
        <v>6447</v>
      </c>
      <c r="G14" s="8">
        <v>7156</v>
      </c>
      <c r="H14" s="8">
        <v>7206</v>
      </c>
      <c r="I14" s="8">
        <v>6338</v>
      </c>
      <c r="J14" s="8">
        <v>6135</v>
      </c>
      <c r="K14" s="8">
        <v>6788</v>
      </c>
      <c r="L14" s="8">
        <v>6588</v>
      </c>
      <c r="M14" s="8">
        <v>6289</v>
      </c>
      <c r="N14" s="7">
        <f t="shared" si="0"/>
        <v>102.26187235516839</v>
      </c>
      <c r="O14" s="7">
        <f t="shared" si="1"/>
        <v>105.22093023255815</v>
      </c>
    </row>
    <row r="15" spans="1:15" x14ac:dyDescent="0.25">
      <c r="A15" s="57">
        <v>1113</v>
      </c>
      <c r="B15" t="s">
        <v>2</v>
      </c>
      <c r="C15" t="s">
        <v>95</v>
      </c>
      <c r="D15" s="8">
        <v>55492</v>
      </c>
      <c r="E15" s="8">
        <v>55050</v>
      </c>
      <c r="F15" s="8">
        <v>4529</v>
      </c>
      <c r="G15" s="8">
        <v>4807</v>
      </c>
      <c r="H15" s="8">
        <v>4600</v>
      </c>
      <c r="I15" s="8">
        <v>4393</v>
      </c>
      <c r="J15" s="8">
        <v>4390</v>
      </c>
      <c r="K15" s="8">
        <v>4830</v>
      </c>
      <c r="L15" s="8">
        <v>4777</v>
      </c>
      <c r="M15" s="8">
        <v>4339</v>
      </c>
      <c r="N15" s="7">
        <f t="shared" si="0"/>
        <v>100.80290644868302</v>
      </c>
      <c r="O15" s="7">
        <f t="shared" si="1"/>
        <v>99.961823734729492</v>
      </c>
    </row>
    <row r="16" spans="1:15" x14ac:dyDescent="0.25">
      <c r="A16" s="57">
        <v>1114</v>
      </c>
      <c r="B16" t="s">
        <v>2</v>
      </c>
      <c r="C16" t="s">
        <v>96</v>
      </c>
      <c r="D16" s="8">
        <v>160389</v>
      </c>
      <c r="E16" s="8">
        <v>156145</v>
      </c>
      <c r="F16" s="8">
        <v>14189</v>
      </c>
      <c r="G16" s="8">
        <v>13887</v>
      </c>
      <c r="H16" s="8">
        <v>12622</v>
      </c>
      <c r="I16" s="8">
        <v>11433</v>
      </c>
      <c r="J16" s="8">
        <v>13230</v>
      </c>
      <c r="K16" s="8">
        <v>12885</v>
      </c>
      <c r="L16" s="8">
        <v>11645</v>
      </c>
      <c r="M16" s="8">
        <v>10821</v>
      </c>
      <c r="N16" s="7">
        <f t="shared" si="0"/>
        <v>102.71798648691922</v>
      </c>
      <c r="O16" s="7">
        <f t="shared" si="1"/>
        <v>107.30738354500731</v>
      </c>
    </row>
    <row r="17" spans="1:15" x14ac:dyDescent="0.25">
      <c r="A17" s="57">
        <v>1115</v>
      </c>
      <c r="B17" t="s">
        <v>2</v>
      </c>
      <c r="C17" t="s">
        <v>97</v>
      </c>
      <c r="D17" s="8">
        <v>90833</v>
      </c>
      <c r="E17" s="8">
        <v>89607</v>
      </c>
      <c r="F17" s="8">
        <v>7125</v>
      </c>
      <c r="G17" s="8">
        <v>7371</v>
      </c>
      <c r="H17" s="8">
        <v>7179</v>
      </c>
      <c r="I17" s="8">
        <v>6748</v>
      </c>
      <c r="J17" s="8">
        <v>6675</v>
      </c>
      <c r="K17" s="8">
        <v>7137</v>
      </c>
      <c r="L17" s="8">
        <v>7037</v>
      </c>
      <c r="M17" s="8">
        <v>6830</v>
      </c>
      <c r="N17" s="7">
        <f t="shared" si="0"/>
        <v>101.36819668106287</v>
      </c>
      <c r="O17" s="7">
        <f t="shared" si="1"/>
        <v>102.68795837999927</v>
      </c>
    </row>
    <row r="18" spans="1:15" x14ac:dyDescent="0.25">
      <c r="A18" s="57">
        <v>1116</v>
      </c>
      <c r="B18" t="s">
        <v>2</v>
      </c>
      <c r="C18" t="s">
        <v>98</v>
      </c>
      <c r="D18" s="8">
        <v>51780</v>
      </c>
      <c r="E18" s="8">
        <v>50462</v>
      </c>
      <c r="F18" s="8">
        <v>3662</v>
      </c>
      <c r="G18" s="8">
        <v>3697</v>
      </c>
      <c r="H18" s="8">
        <v>3931</v>
      </c>
      <c r="I18" s="8">
        <v>3786</v>
      </c>
      <c r="J18" s="8">
        <v>3668</v>
      </c>
      <c r="K18" s="8">
        <v>3596</v>
      </c>
      <c r="L18" s="8">
        <v>3908</v>
      </c>
      <c r="M18" s="8">
        <v>4113</v>
      </c>
      <c r="N18" s="7">
        <f t="shared" si="0"/>
        <v>102.6118663548809</v>
      </c>
      <c r="O18" s="7">
        <f t="shared" si="1"/>
        <v>98.632646385345112</v>
      </c>
    </row>
    <row r="19" spans="1:15" x14ac:dyDescent="0.25">
      <c r="A19" s="57">
        <v>1117</v>
      </c>
      <c r="B19" t="s">
        <v>2</v>
      </c>
      <c r="C19" t="s">
        <v>99</v>
      </c>
      <c r="D19" s="8">
        <v>90001</v>
      </c>
      <c r="E19" s="8">
        <v>87599</v>
      </c>
      <c r="F19" s="8">
        <v>7345</v>
      </c>
      <c r="G19" s="8">
        <v>7048</v>
      </c>
      <c r="H19" s="8">
        <v>6498</v>
      </c>
      <c r="I19" s="8">
        <v>6418</v>
      </c>
      <c r="J19" s="8">
        <v>7028</v>
      </c>
      <c r="K19" s="8">
        <v>6917</v>
      </c>
      <c r="L19" s="8">
        <v>6612</v>
      </c>
      <c r="M19" s="8">
        <v>6513</v>
      </c>
      <c r="N19" s="7">
        <f t="shared" si="0"/>
        <v>102.74204043425152</v>
      </c>
      <c r="O19" s="7">
        <f t="shared" si="1"/>
        <v>100.88289619504987</v>
      </c>
    </row>
    <row r="20" spans="1:15" x14ac:dyDescent="0.25">
      <c r="A20" s="57">
        <v>1118</v>
      </c>
      <c r="B20" t="s">
        <v>2</v>
      </c>
      <c r="C20" t="s">
        <v>100</v>
      </c>
      <c r="D20" s="8">
        <v>85134</v>
      </c>
      <c r="E20" s="8">
        <v>85446</v>
      </c>
      <c r="F20" s="8">
        <v>7223</v>
      </c>
      <c r="G20" s="8">
        <v>7155</v>
      </c>
      <c r="H20" s="8">
        <v>6681</v>
      </c>
      <c r="I20" s="8">
        <v>6959</v>
      </c>
      <c r="J20" s="8">
        <v>6953</v>
      </c>
      <c r="K20" s="8">
        <v>6917</v>
      </c>
      <c r="L20" s="8">
        <v>6591</v>
      </c>
      <c r="M20" s="8">
        <v>6396</v>
      </c>
      <c r="N20" s="7">
        <f t="shared" si="0"/>
        <v>99.634857102731544</v>
      </c>
      <c r="O20" s="7">
        <f t="shared" si="1"/>
        <v>104.32289533454966</v>
      </c>
    </row>
    <row r="21" spans="1:15" x14ac:dyDescent="0.25">
      <c r="A21" s="57">
        <v>1171</v>
      </c>
      <c r="B21" t="s">
        <v>2</v>
      </c>
      <c r="C21" t="s">
        <v>101</v>
      </c>
      <c r="D21" s="8">
        <v>135758</v>
      </c>
      <c r="E21" s="8">
        <v>135037</v>
      </c>
      <c r="F21" s="8">
        <v>9686</v>
      </c>
      <c r="G21" s="8">
        <v>9716</v>
      </c>
      <c r="H21" s="8">
        <v>10408</v>
      </c>
      <c r="I21" s="8">
        <v>11282</v>
      </c>
      <c r="J21" s="8">
        <v>9321</v>
      </c>
      <c r="K21" s="8">
        <v>9266</v>
      </c>
      <c r="L21" s="8">
        <v>11109</v>
      </c>
      <c r="M21" s="8">
        <v>12374</v>
      </c>
      <c r="N21" s="7">
        <f t="shared" si="0"/>
        <v>100.53392773832357</v>
      </c>
      <c r="O21" s="7">
        <f t="shared" si="1"/>
        <v>97.675303066318037</v>
      </c>
    </row>
    <row r="22" spans="1:15" x14ac:dyDescent="0.25">
      <c r="A22" s="57">
        <v>1172</v>
      </c>
      <c r="B22" t="s">
        <v>2</v>
      </c>
      <c r="C22" t="s">
        <v>102</v>
      </c>
      <c r="D22" s="8">
        <v>22390</v>
      </c>
      <c r="E22" s="8">
        <v>22220</v>
      </c>
      <c r="F22" s="8">
        <v>1861</v>
      </c>
      <c r="G22" s="8">
        <v>1552</v>
      </c>
      <c r="H22" s="8">
        <v>1487</v>
      </c>
      <c r="I22" s="8">
        <v>1559</v>
      </c>
      <c r="J22" s="8">
        <v>1816</v>
      </c>
      <c r="K22" s="8">
        <v>1531</v>
      </c>
      <c r="L22" s="8">
        <v>1583</v>
      </c>
      <c r="M22" s="8">
        <v>1758</v>
      </c>
      <c r="N22" s="7">
        <f t="shared" si="0"/>
        <v>100.76507650765076</v>
      </c>
      <c r="O22" s="7">
        <f t="shared" si="1"/>
        <v>96.575956937799049</v>
      </c>
    </row>
    <row r="23" spans="1:15" x14ac:dyDescent="0.25">
      <c r="A23" s="57">
        <v>1173</v>
      </c>
      <c r="B23" t="s">
        <v>2</v>
      </c>
      <c r="C23" t="s">
        <v>103</v>
      </c>
      <c r="D23" s="8">
        <v>102084</v>
      </c>
      <c r="E23" s="8">
        <v>102119</v>
      </c>
      <c r="F23" s="8">
        <v>8596</v>
      </c>
      <c r="G23" s="8">
        <v>8441</v>
      </c>
      <c r="H23" s="8">
        <v>8295</v>
      </c>
      <c r="I23" s="8">
        <v>8212</v>
      </c>
      <c r="J23" s="8">
        <v>8571</v>
      </c>
      <c r="K23" s="8">
        <v>8778</v>
      </c>
      <c r="L23" s="8">
        <v>8164</v>
      </c>
      <c r="M23" s="8">
        <v>7863</v>
      </c>
      <c r="N23" s="7">
        <f t="shared" si="0"/>
        <v>99.965726260539185</v>
      </c>
      <c r="O23" s="7">
        <f t="shared" si="1"/>
        <v>100.503355704698</v>
      </c>
    </row>
    <row r="24" spans="1:15" x14ac:dyDescent="0.25">
      <c r="A24" s="57">
        <v>1174</v>
      </c>
      <c r="B24" t="s">
        <v>2</v>
      </c>
      <c r="C24" t="s">
        <v>104</v>
      </c>
      <c r="D24" s="8">
        <v>102573</v>
      </c>
      <c r="E24" s="8">
        <v>103821</v>
      </c>
      <c r="F24" s="8">
        <v>9074</v>
      </c>
      <c r="G24" s="8">
        <v>8601</v>
      </c>
      <c r="H24" s="8">
        <v>7993</v>
      </c>
      <c r="I24" s="8">
        <v>7712</v>
      </c>
      <c r="J24" s="8">
        <v>8674</v>
      </c>
      <c r="K24" s="8">
        <v>8460</v>
      </c>
      <c r="L24" s="8">
        <v>8170</v>
      </c>
      <c r="M24" s="8">
        <v>7750</v>
      </c>
      <c r="N24" s="7">
        <f t="shared" si="0"/>
        <v>98.797931054410952</v>
      </c>
      <c r="O24" s="7">
        <f t="shared" si="1"/>
        <v>100.98626489986084</v>
      </c>
    </row>
    <row r="25" spans="1:15" x14ac:dyDescent="0.25">
      <c r="A25" s="57">
        <v>1175</v>
      </c>
      <c r="B25" t="s">
        <v>2</v>
      </c>
      <c r="C25" t="s">
        <v>105</v>
      </c>
      <c r="D25" s="8">
        <v>52517</v>
      </c>
      <c r="E25" s="8">
        <v>50982</v>
      </c>
      <c r="F25" s="8">
        <v>4832</v>
      </c>
      <c r="G25" s="8">
        <v>5013</v>
      </c>
      <c r="H25" s="8">
        <v>4388</v>
      </c>
      <c r="I25" s="8">
        <v>3647</v>
      </c>
      <c r="J25" s="8">
        <v>4515</v>
      </c>
      <c r="K25" s="8">
        <v>4882</v>
      </c>
      <c r="L25" s="8">
        <v>4232</v>
      </c>
      <c r="M25" s="8">
        <v>3534</v>
      </c>
      <c r="N25" s="7">
        <f t="shared" si="0"/>
        <v>103.01086658036169</v>
      </c>
      <c r="O25" s="7">
        <f t="shared" si="1"/>
        <v>104.17759133018703</v>
      </c>
    </row>
    <row r="26" spans="1:15" x14ac:dyDescent="0.25">
      <c r="A26" s="57">
        <v>1201</v>
      </c>
      <c r="B26" t="s">
        <v>48</v>
      </c>
      <c r="C26" t="s">
        <v>106</v>
      </c>
      <c r="D26" s="8">
        <v>77910</v>
      </c>
      <c r="E26" s="8">
        <v>81415</v>
      </c>
      <c r="F26" s="8">
        <v>7988</v>
      </c>
      <c r="G26" s="8">
        <v>7435</v>
      </c>
      <c r="H26" s="8">
        <v>5865</v>
      </c>
      <c r="I26" s="8">
        <v>5448</v>
      </c>
      <c r="J26" s="8">
        <v>7779</v>
      </c>
      <c r="K26" s="8">
        <v>6951</v>
      </c>
      <c r="L26" s="8">
        <v>5850</v>
      </c>
      <c r="M26" s="8">
        <v>6107</v>
      </c>
      <c r="N26" s="7">
        <f t="shared" si="0"/>
        <v>95.694896517840689</v>
      </c>
      <c r="O26" s="7">
        <f t="shared" si="1"/>
        <v>100.183609997377</v>
      </c>
    </row>
    <row r="27" spans="1:15" x14ac:dyDescent="0.25">
      <c r="A27" s="57">
        <v>1202</v>
      </c>
      <c r="B27" t="s">
        <v>48</v>
      </c>
      <c r="C27" t="s">
        <v>107</v>
      </c>
      <c r="D27" s="8">
        <v>260264</v>
      </c>
      <c r="E27" s="8">
        <v>261264</v>
      </c>
      <c r="F27" s="8">
        <v>22393</v>
      </c>
      <c r="G27" s="8">
        <v>21493</v>
      </c>
      <c r="H27" s="8">
        <v>20390</v>
      </c>
      <c r="I27" s="8">
        <v>19452</v>
      </c>
      <c r="J27" s="8">
        <v>21794</v>
      </c>
      <c r="K27" s="8">
        <v>20208</v>
      </c>
      <c r="L27" s="8">
        <v>19799</v>
      </c>
      <c r="M27" s="8">
        <v>19087</v>
      </c>
      <c r="N27" s="7">
        <f t="shared" si="0"/>
        <v>99.617245391634512</v>
      </c>
      <c r="O27" s="7">
        <f t="shared" si="1"/>
        <v>103.51102759370983</v>
      </c>
    </row>
    <row r="28" spans="1:15" x14ac:dyDescent="0.25">
      <c r="A28" s="57">
        <v>1203</v>
      </c>
      <c r="B28" t="s">
        <v>48</v>
      </c>
      <c r="C28" t="s">
        <v>108</v>
      </c>
      <c r="D28" s="8">
        <v>163413</v>
      </c>
      <c r="E28" s="8">
        <v>160666</v>
      </c>
      <c r="F28" s="8">
        <v>14609</v>
      </c>
      <c r="G28" s="8">
        <v>14528</v>
      </c>
      <c r="H28" s="8">
        <v>13327</v>
      </c>
      <c r="I28" s="8">
        <v>12169</v>
      </c>
      <c r="J28" s="8">
        <v>13587</v>
      </c>
      <c r="K28" s="8">
        <v>12755</v>
      </c>
      <c r="L28" s="8">
        <v>11928</v>
      </c>
      <c r="M28" s="8">
        <v>10859</v>
      </c>
      <c r="N28" s="7">
        <f t="shared" si="0"/>
        <v>101.70975813177647</v>
      </c>
      <c r="O28" s="7">
        <f t="shared" si="1"/>
        <v>111.20315903030797</v>
      </c>
    </row>
    <row r="29" spans="1:15" x14ac:dyDescent="0.25">
      <c r="A29" s="57">
        <v>1204</v>
      </c>
      <c r="B29" t="s">
        <v>48</v>
      </c>
      <c r="C29" t="s">
        <v>109</v>
      </c>
      <c r="D29" s="8">
        <v>207368</v>
      </c>
      <c r="E29" s="8">
        <v>203481</v>
      </c>
      <c r="F29" s="8">
        <v>19487</v>
      </c>
      <c r="G29" s="8">
        <v>19002</v>
      </c>
      <c r="H29" s="8">
        <v>17645</v>
      </c>
      <c r="I29" s="8">
        <v>16729</v>
      </c>
      <c r="J29" s="8">
        <v>18545</v>
      </c>
      <c r="K29" s="8">
        <v>18038</v>
      </c>
      <c r="L29" s="8">
        <v>16501</v>
      </c>
      <c r="M29" s="8">
        <v>15491</v>
      </c>
      <c r="N29" s="7">
        <f t="shared" si="0"/>
        <v>101.91025206284617</v>
      </c>
      <c r="O29" s="7">
        <f t="shared" si="1"/>
        <v>106.25300765585126</v>
      </c>
    </row>
    <row r="30" spans="1:15" x14ac:dyDescent="0.25">
      <c r="A30" s="57">
        <v>1205</v>
      </c>
      <c r="B30" t="s">
        <v>48</v>
      </c>
      <c r="C30" t="s">
        <v>110</v>
      </c>
      <c r="D30" s="8">
        <v>167900</v>
      </c>
      <c r="E30" s="8">
        <v>166815</v>
      </c>
      <c r="F30" s="8">
        <v>16371</v>
      </c>
      <c r="G30" s="8">
        <v>14052</v>
      </c>
      <c r="H30" s="8">
        <v>12023</v>
      </c>
      <c r="I30" s="8">
        <v>10661</v>
      </c>
      <c r="J30" s="8">
        <v>15256</v>
      </c>
      <c r="K30" s="8">
        <v>12968</v>
      </c>
      <c r="L30" s="8">
        <v>10484</v>
      </c>
      <c r="M30" s="8">
        <v>9770</v>
      </c>
      <c r="N30" s="7">
        <f t="shared" si="0"/>
        <v>100.65042112519858</v>
      </c>
      <c r="O30" s="7">
        <f t="shared" si="1"/>
        <v>109.54866124840134</v>
      </c>
    </row>
    <row r="31" spans="1:15" x14ac:dyDescent="0.25">
      <c r="A31" s="57">
        <v>1206</v>
      </c>
      <c r="B31" t="s">
        <v>48</v>
      </c>
      <c r="C31" t="s">
        <v>602</v>
      </c>
      <c r="D31" s="8">
        <v>111350</v>
      </c>
      <c r="E31" s="8">
        <v>111072</v>
      </c>
      <c r="F31" s="8">
        <v>10639</v>
      </c>
      <c r="G31" s="8">
        <v>8635</v>
      </c>
      <c r="H31" s="8">
        <v>7529</v>
      </c>
      <c r="I31" s="8">
        <v>6860</v>
      </c>
      <c r="J31" s="8">
        <v>9910</v>
      </c>
      <c r="K31" s="8">
        <v>8261</v>
      </c>
      <c r="L31" s="8">
        <v>6836</v>
      </c>
      <c r="M31" s="8">
        <v>6543</v>
      </c>
      <c r="N31" s="7">
        <f t="shared" si="0"/>
        <v>100.2502881014117</v>
      </c>
      <c r="O31" s="7">
        <f t="shared" si="1"/>
        <v>106.69730586370841</v>
      </c>
    </row>
    <row r="32" spans="1:15" x14ac:dyDescent="0.25">
      <c r="A32" s="57">
        <v>1207</v>
      </c>
      <c r="B32" t="s">
        <v>48</v>
      </c>
      <c r="C32" t="s">
        <v>111</v>
      </c>
      <c r="D32" s="8">
        <v>270638</v>
      </c>
      <c r="E32" s="8">
        <v>262696</v>
      </c>
      <c r="F32" s="8">
        <v>23570</v>
      </c>
      <c r="G32" s="8">
        <v>22850</v>
      </c>
      <c r="H32" s="8">
        <v>22624</v>
      </c>
      <c r="I32" s="8">
        <v>20786</v>
      </c>
      <c r="J32" s="8">
        <v>22310</v>
      </c>
      <c r="K32" s="8">
        <v>21389</v>
      </c>
      <c r="L32" s="8">
        <v>21403</v>
      </c>
      <c r="M32" s="8">
        <v>19878</v>
      </c>
      <c r="N32" s="7">
        <f t="shared" si="0"/>
        <v>103.02326643725065</v>
      </c>
      <c r="O32" s="7">
        <f t="shared" si="1"/>
        <v>105.70722522946576</v>
      </c>
    </row>
    <row r="33" spans="1:15" x14ac:dyDescent="0.25">
      <c r="A33" s="57">
        <v>1208</v>
      </c>
      <c r="B33" t="s">
        <v>48</v>
      </c>
      <c r="C33" t="s">
        <v>112</v>
      </c>
      <c r="D33" s="8">
        <v>421693</v>
      </c>
      <c r="E33" s="8">
        <v>413487</v>
      </c>
      <c r="F33" s="8">
        <v>34839</v>
      </c>
      <c r="G33" s="8">
        <v>35296</v>
      </c>
      <c r="H33" s="8">
        <v>34042</v>
      </c>
      <c r="I33" s="8">
        <v>30721</v>
      </c>
      <c r="J33" s="8">
        <v>33046</v>
      </c>
      <c r="K33" s="8">
        <v>33419</v>
      </c>
      <c r="L33" s="8">
        <v>32587</v>
      </c>
      <c r="M33" s="8">
        <v>29514</v>
      </c>
      <c r="N33" s="7">
        <f t="shared" si="0"/>
        <v>101.98458476324528</v>
      </c>
      <c r="O33" s="7">
        <f t="shared" si="1"/>
        <v>104.92509683742202</v>
      </c>
    </row>
    <row r="34" spans="1:15" x14ac:dyDescent="0.25">
      <c r="A34" s="57">
        <v>1209</v>
      </c>
      <c r="B34" t="s">
        <v>48</v>
      </c>
      <c r="C34" t="s">
        <v>113</v>
      </c>
      <c r="D34" s="8">
        <v>545614</v>
      </c>
      <c r="E34" s="8">
        <v>537258</v>
      </c>
      <c r="F34" s="8">
        <v>44924</v>
      </c>
      <c r="G34" s="8">
        <v>44563</v>
      </c>
      <c r="H34" s="8">
        <v>44797</v>
      </c>
      <c r="I34" s="8">
        <v>42470</v>
      </c>
      <c r="J34" s="8">
        <v>42014</v>
      </c>
      <c r="K34" s="8">
        <v>42395</v>
      </c>
      <c r="L34" s="8">
        <v>42404</v>
      </c>
      <c r="M34" s="8">
        <v>39198</v>
      </c>
      <c r="N34" s="7">
        <f t="shared" si="0"/>
        <v>101.55530490006663</v>
      </c>
      <c r="O34" s="7">
        <f t="shared" si="1"/>
        <v>106.47125792869147</v>
      </c>
    </row>
    <row r="35" spans="1:15" x14ac:dyDescent="0.25">
      <c r="A35" s="57">
        <v>1210</v>
      </c>
      <c r="B35" t="s">
        <v>48</v>
      </c>
      <c r="C35" t="s">
        <v>114</v>
      </c>
      <c r="D35" s="8">
        <v>171913</v>
      </c>
      <c r="E35" s="8">
        <v>170316</v>
      </c>
      <c r="F35" s="8">
        <v>15997</v>
      </c>
      <c r="G35" s="8">
        <v>15540</v>
      </c>
      <c r="H35" s="8">
        <v>13323</v>
      </c>
      <c r="I35" s="8">
        <v>11317</v>
      </c>
      <c r="J35" s="8">
        <v>15204</v>
      </c>
      <c r="K35" s="8">
        <v>14603</v>
      </c>
      <c r="L35" s="8">
        <v>12100</v>
      </c>
      <c r="M35" s="8">
        <v>10250</v>
      </c>
      <c r="N35" s="7">
        <f t="shared" si="0"/>
        <v>100.93766880387045</v>
      </c>
      <c r="O35" s="7">
        <f t="shared" si="1"/>
        <v>107.70749851410166</v>
      </c>
    </row>
    <row r="36" spans="1:15" x14ac:dyDescent="0.25">
      <c r="A36" s="57">
        <v>1211</v>
      </c>
      <c r="B36" t="s">
        <v>48</v>
      </c>
      <c r="C36" t="s">
        <v>115</v>
      </c>
      <c r="D36" s="8">
        <v>217236</v>
      </c>
      <c r="E36" s="8">
        <v>220311</v>
      </c>
      <c r="F36" s="8">
        <v>18239</v>
      </c>
      <c r="G36" s="8">
        <v>18306</v>
      </c>
      <c r="H36" s="8">
        <v>17265</v>
      </c>
      <c r="I36" s="8">
        <v>15422</v>
      </c>
      <c r="J36" s="8">
        <v>17622</v>
      </c>
      <c r="K36" s="8">
        <v>17660</v>
      </c>
      <c r="L36" s="8">
        <v>16695</v>
      </c>
      <c r="M36" s="8">
        <v>15253</v>
      </c>
      <c r="N36" s="7">
        <f t="shared" si="0"/>
        <v>98.604245816141727</v>
      </c>
      <c r="O36" s="7">
        <f t="shared" si="1"/>
        <v>102.97783727502603</v>
      </c>
    </row>
    <row r="37" spans="1:15" x14ac:dyDescent="0.25">
      <c r="A37" s="57">
        <v>1212</v>
      </c>
      <c r="B37" t="s">
        <v>48</v>
      </c>
      <c r="C37" t="s">
        <v>116</v>
      </c>
      <c r="D37" s="8">
        <v>1058059</v>
      </c>
      <c r="E37" s="8">
        <v>1048801</v>
      </c>
      <c r="F37" s="8">
        <v>82486</v>
      </c>
      <c r="G37" s="8">
        <v>86004</v>
      </c>
      <c r="H37" s="8">
        <v>84710</v>
      </c>
      <c r="I37" s="8">
        <v>80068</v>
      </c>
      <c r="J37" s="8">
        <v>77701</v>
      </c>
      <c r="K37" s="8">
        <v>82932</v>
      </c>
      <c r="L37" s="8">
        <v>83972</v>
      </c>
      <c r="M37" s="8">
        <v>76873</v>
      </c>
      <c r="N37" s="7">
        <f t="shared" si="0"/>
        <v>100.88272227047838</v>
      </c>
      <c r="O37" s="7">
        <f t="shared" si="1"/>
        <v>103.66743602983719</v>
      </c>
    </row>
    <row r="38" spans="1:15" x14ac:dyDescent="0.25">
      <c r="A38" s="57">
        <v>1213</v>
      </c>
      <c r="B38" t="s">
        <v>48</v>
      </c>
      <c r="C38" t="s">
        <v>117</v>
      </c>
      <c r="D38" s="8">
        <v>555267</v>
      </c>
      <c r="E38" s="8">
        <v>545303</v>
      </c>
      <c r="F38" s="8">
        <v>39310</v>
      </c>
      <c r="G38" s="8">
        <v>44081</v>
      </c>
      <c r="H38" s="8">
        <v>45342</v>
      </c>
      <c r="I38" s="8">
        <v>42704</v>
      </c>
      <c r="J38" s="8">
        <v>37295</v>
      </c>
      <c r="K38" s="8">
        <v>42405</v>
      </c>
      <c r="L38" s="8">
        <v>42947</v>
      </c>
      <c r="M38" s="8">
        <v>41688</v>
      </c>
      <c r="N38" s="7">
        <f t="shared" si="0"/>
        <v>101.82724100179166</v>
      </c>
      <c r="O38" s="7">
        <f t="shared" si="1"/>
        <v>104.32166002373202</v>
      </c>
    </row>
    <row r="39" spans="1:15" x14ac:dyDescent="0.25">
      <c r="A39" s="57">
        <v>1214</v>
      </c>
      <c r="B39" t="s">
        <v>48</v>
      </c>
      <c r="C39" t="s">
        <v>118</v>
      </c>
      <c r="D39" s="8">
        <v>203793</v>
      </c>
      <c r="E39" s="8">
        <v>200532</v>
      </c>
      <c r="F39" s="8">
        <v>21705</v>
      </c>
      <c r="G39" s="8">
        <v>21637</v>
      </c>
      <c r="H39" s="8">
        <v>17807</v>
      </c>
      <c r="I39" s="8">
        <v>14446</v>
      </c>
      <c r="J39" s="8">
        <v>19371</v>
      </c>
      <c r="K39" s="8">
        <v>19863</v>
      </c>
      <c r="L39" s="8">
        <v>17766</v>
      </c>
      <c r="M39" s="8">
        <v>14835</v>
      </c>
      <c r="N39" s="7">
        <f t="shared" si="0"/>
        <v>101.62617437615941</v>
      </c>
      <c r="O39" s="7">
        <f t="shared" si="1"/>
        <v>105.23421730354283</v>
      </c>
    </row>
    <row r="40" spans="1:15" x14ac:dyDescent="0.25">
      <c r="A40" s="57">
        <v>1215</v>
      </c>
      <c r="B40" t="s">
        <v>48</v>
      </c>
      <c r="C40" t="s">
        <v>119</v>
      </c>
      <c r="D40" s="8">
        <v>106371</v>
      </c>
      <c r="E40" s="8">
        <v>105499</v>
      </c>
      <c r="F40" s="8">
        <v>10873</v>
      </c>
      <c r="G40" s="8">
        <v>8899</v>
      </c>
      <c r="H40" s="8">
        <v>7129</v>
      </c>
      <c r="I40" s="8">
        <v>6213</v>
      </c>
      <c r="J40" s="8">
        <v>10335</v>
      </c>
      <c r="K40" s="8">
        <v>8278</v>
      </c>
      <c r="L40" s="8">
        <v>6094</v>
      </c>
      <c r="M40" s="8">
        <v>5649</v>
      </c>
      <c r="N40" s="7">
        <f t="shared" si="0"/>
        <v>100.82654811893951</v>
      </c>
      <c r="O40" s="7">
        <f t="shared" si="1"/>
        <v>109.08551851363816</v>
      </c>
    </row>
    <row r="41" spans="1:15" x14ac:dyDescent="0.25">
      <c r="A41" s="57">
        <v>1216</v>
      </c>
      <c r="B41" t="s">
        <v>48</v>
      </c>
      <c r="C41" t="s">
        <v>120</v>
      </c>
      <c r="D41" s="8">
        <v>29465</v>
      </c>
      <c r="E41" s="8">
        <v>28796</v>
      </c>
      <c r="F41" s="8">
        <v>2644</v>
      </c>
      <c r="G41" s="8">
        <v>2547</v>
      </c>
      <c r="H41" s="8">
        <v>2249</v>
      </c>
      <c r="I41" s="8">
        <v>1906</v>
      </c>
      <c r="J41" s="8">
        <v>2462</v>
      </c>
      <c r="K41" s="8">
        <v>2464</v>
      </c>
      <c r="L41" s="8">
        <v>2104</v>
      </c>
      <c r="M41" s="8">
        <v>1870</v>
      </c>
      <c r="N41" s="7">
        <f t="shared" si="0"/>
        <v>102.32323933879705</v>
      </c>
      <c r="O41" s="7">
        <f t="shared" si="1"/>
        <v>105.01123595505616</v>
      </c>
    </row>
    <row r="42" spans="1:15" x14ac:dyDescent="0.25">
      <c r="A42" s="57">
        <v>1217</v>
      </c>
      <c r="B42" t="s">
        <v>48</v>
      </c>
      <c r="C42" t="s">
        <v>121</v>
      </c>
      <c r="D42" s="8">
        <v>73428</v>
      </c>
      <c r="E42" s="8">
        <v>73111</v>
      </c>
      <c r="F42" s="8">
        <v>7184</v>
      </c>
      <c r="G42" s="8">
        <v>6327</v>
      </c>
      <c r="H42" s="8">
        <v>5394</v>
      </c>
      <c r="I42" s="8">
        <v>4761</v>
      </c>
      <c r="J42" s="8">
        <v>6717</v>
      </c>
      <c r="K42" s="8">
        <v>5695</v>
      </c>
      <c r="L42" s="8">
        <v>4717</v>
      </c>
      <c r="M42" s="8">
        <v>4102</v>
      </c>
      <c r="N42" s="7">
        <f t="shared" si="0"/>
        <v>100.43358728508707</v>
      </c>
      <c r="O42" s="7">
        <f t="shared" si="1"/>
        <v>111.46907823465686</v>
      </c>
    </row>
    <row r="43" spans="1:15" x14ac:dyDescent="0.25">
      <c r="A43" s="57">
        <v>1218</v>
      </c>
      <c r="B43" t="s">
        <v>48</v>
      </c>
      <c r="C43" t="s">
        <v>122</v>
      </c>
      <c r="D43" s="8">
        <v>356425</v>
      </c>
      <c r="E43" s="8">
        <v>351842</v>
      </c>
      <c r="F43" s="8">
        <v>28129</v>
      </c>
      <c r="G43" s="8">
        <v>27704</v>
      </c>
      <c r="H43" s="8">
        <v>27459</v>
      </c>
      <c r="I43" s="8">
        <v>26261</v>
      </c>
      <c r="J43" s="8">
        <v>26704</v>
      </c>
      <c r="K43" s="8">
        <v>26479</v>
      </c>
      <c r="L43" s="8">
        <v>26096</v>
      </c>
      <c r="M43" s="8">
        <v>25039</v>
      </c>
      <c r="N43" s="7">
        <f t="shared" si="0"/>
        <v>101.30257331415807</v>
      </c>
      <c r="O43" s="7">
        <f t="shared" si="1"/>
        <v>105.01830940010353</v>
      </c>
    </row>
    <row r="44" spans="1:15" x14ac:dyDescent="0.25">
      <c r="A44" s="57">
        <v>1219</v>
      </c>
      <c r="B44" t="s">
        <v>48</v>
      </c>
      <c r="C44" t="s">
        <v>123</v>
      </c>
      <c r="D44" s="8">
        <v>226475</v>
      </c>
      <c r="E44" s="8">
        <v>223946</v>
      </c>
      <c r="F44" s="8">
        <v>16304</v>
      </c>
      <c r="G44" s="8">
        <v>17534</v>
      </c>
      <c r="H44" s="8">
        <v>19199</v>
      </c>
      <c r="I44" s="8">
        <v>16975</v>
      </c>
      <c r="J44" s="8">
        <v>15754</v>
      </c>
      <c r="K44" s="8">
        <v>17748</v>
      </c>
      <c r="L44" s="8">
        <v>18343</v>
      </c>
      <c r="M44" s="8">
        <v>16744</v>
      </c>
      <c r="N44" s="7">
        <f t="shared" si="0"/>
        <v>101.12929009671974</v>
      </c>
      <c r="O44" s="7">
        <f t="shared" si="1"/>
        <v>102.07467669742962</v>
      </c>
    </row>
    <row r="45" spans="1:15" x14ac:dyDescent="0.25">
      <c r="A45" s="57">
        <v>1220</v>
      </c>
      <c r="B45" t="s">
        <v>48</v>
      </c>
      <c r="C45" t="s">
        <v>124</v>
      </c>
      <c r="D45" s="8">
        <v>148050</v>
      </c>
      <c r="E45" s="8">
        <v>142621</v>
      </c>
      <c r="F45" s="8">
        <v>13733</v>
      </c>
      <c r="G45" s="8">
        <v>12256</v>
      </c>
      <c r="H45" s="8">
        <v>11349</v>
      </c>
      <c r="I45" s="8">
        <v>10973</v>
      </c>
      <c r="J45" s="8">
        <v>12570</v>
      </c>
      <c r="K45" s="8">
        <v>11294</v>
      </c>
      <c r="L45" s="8">
        <v>10562</v>
      </c>
      <c r="M45" s="8">
        <v>10377</v>
      </c>
      <c r="N45" s="7">
        <f t="shared" si="0"/>
        <v>103.80659229706706</v>
      </c>
      <c r="O45" s="7">
        <f t="shared" si="1"/>
        <v>107.82983282369484</v>
      </c>
    </row>
    <row r="46" spans="1:15" x14ac:dyDescent="0.25">
      <c r="A46" s="57">
        <v>1221</v>
      </c>
      <c r="B46" t="s">
        <v>48</v>
      </c>
      <c r="C46" t="s">
        <v>125</v>
      </c>
      <c r="D46" s="8">
        <v>145559</v>
      </c>
      <c r="E46" s="8">
        <v>144922</v>
      </c>
      <c r="F46" s="8">
        <v>12265</v>
      </c>
      <c r="G46" s="8">
        <v>13323</v>
      </c>
      <c r="H46" s="8">
        <v>12618</v>
      </c>
      <c r="I46" s="8">
        <v>9989</v>
      </c>
      <c r="J46" s="8">
        <v>11052</v>
      </c>
      <c r="K46" s="8">
        <v>11941</v>
      </c>
      <c r="L46" s="8">
        <v>11412</v>
      </c>
      <c r="M46" s="8">
        <v>12161</v>
      </c>
      <c r="N46" s="7">
        <f t="shared" si="0"/>
        <v>100.4395467906874</v>
      </c>
      <c r="O46" s="7">
        <f t="shared" si="1"/>
        <v>103.49826053343641</v>
      </c>
    </row>
    <row r="47" spans="1:15" x14ac:dyDescent="0.25">
      <c r="A47" s="57">
        <v>1222</v>
      </c>
      <c r="B47" t="s">
        <v>48</v>
      </c>
      <c r="C47" t="s">
        <v>603</v>
      </c>
      <c r="D47" s="8">
        <v>177019</v>
      </c>
      <c r="E47" s="8">
        <v>170748</v>
      </c>
      <c r="F47" s="8">
        <v>15380</v>
      </c>
      <c r="G47" s="8">
        <v>14321</v>
      </c>
      <c r="H47" s="8">
        <v>14106</v>
      </c>
      <c r="I47" s="8">
        <v>13307</v>
      </c>
      <c r="J47" s="8">
        <v>14205</v>
      </c>
      <c r="K47" s="8">
        <v>13515</v>
      </c>
      <c r="L47" s="8">
        <v>13607</v>
      </c>
      <c r="M47" s="8">
        <v>13067</v>
      </c>
      <c r="N47" s="7">
        <f t="shared" si="0"/>
        <v>103.6726638086537</v>
      </c>
      <c r="O47" s="7">
        <f t="shared" si="1"/>
        <v>105.00055153141892</v>
      </c>
    </row>
    <row r="48" spans="1:15" x14ac:dyDescent="0.25">
      <c r="A48" s="57">
        <v>1223</v>
      </c>
      <c r="B48" t="s">
        <v>48</v>
      </c>
      <c r="C48" t="s">
        <v>604</v>
      </c>
      <c r="D48" s="8">
        <v>213650</v>
      </c>
      <c r="E48" s="8">
        <v>208422</v>
      </c>
      <c r="F48" s="8">
        <v>18436</v>
      </c>
      <c r="G48" s="8">
        <v>18023</v>
      </c>
      <c r="H48" s="8">
        <v>17578</v>
      </c>
      <c r="I48" s="8">
        <v>16732</v>
      </c>
      <c r="J48" s="8">
        <v>17769</v>
      </c>
      <c r="K48" s="8">
        <v>17253</v>
      </c>
      <c r="L48" s="8">
        <v>16930</v>
      </c>
      <c r="M48" s="8">
        <v>15621</v>
      </c>
      <c r="N48" s="7">
        <f t="shared" si="0"/>
        <v>102.50837243669095</v>
      </c>
      <c r="O48" s="7">
        <f t="shared" si="1"/>
        <v>104.72969973214154</v>
      </c>
    </row>
    <row r="49" spans="1:15" x14ac:dyDescent="0.25">
      <c r="A49" s="57">
        <v>1224</v>
      </c>
      <c r="B49" t="s">
        <v>48</v>
      </c>
      <c r="C49" t="s">
        <v>126</v>
      </c>
      <c r="D49" s="8">
        <v>81604</v>
      </c>
      <c r="E49" s="8">
        <v>82562</v>
      </c>
      <c r="F49" s="8">
        <v>9188</v>
      </c>
      <c r="G49" s="8">
        <v>7938</v>
      </c>
      <c r="H49" s="8">
        <v>6077</v>
      </c>
      <c r="I49" s="8">
        <v>5445</v>
      </c>
      <c r="J49" s="8">
        <v>8427</v>
      </c>
      <c r="K49" s="8">
        <v>7535</v>
      </c>
      <c r="L49" s="8">
        <v>6238</v>
      </c>
      <c r="M49" s="8">
        <v>6017</v>
      </c>
      <c r="N49" s="7">
        <f t="shared" si="0"/>
        <v>98.839659891959982</v>
      </c>
      <c r="O49" s="7">
        <f t="shared" si="1"/>
        <v>101.52744799234503</v>
      </c>
    </row>
    <row r="50" spans="1:15" x14ac:dyDescent="0.25">
      <c r="A50" s="57">
        <v>1225</v>
      </c>
      <c r="B50" t="s">
        <v>48</v>
      </c>
      <c r="C50" t="s">
        <v>127</v>
      </c>
      <c r="D50" s="8">
        <v>49150</v>
      </c>
      <c r="E50" s="8">
        <v>51810</v>
      </c>
      <c r="F50" s="8">
        <v>5211</v>
      </c>
      <c r="G50" s="8">
        <v>4585</v>
      </c>
      <c r="H50" s="8">
        <v>3359</v>
      </c>
      <c r="I50" s="8">
        <v>3298</v>
      </c>
      <c r="J50" s="8">
        <v>5014</v>
      </c>
      <c r="K50" s="8">
        <v>4735</v>
      </c>
      <c r="L50" s="8">
        <v>3634</v>
      </c>
      <c r="M50" s="8">
        <v>3571</v>
      </c>
      <c r="N50" s="7">
        <f t="shared" si="0"/>
        <v>94.865856012352822</v>
      </c>
      <c r="O50" s="7">
        <f t="shared" si="1"/>
        <v>97.044945145688331</v>
      </c>
    </row>
    <row r="51" spans="1:15" x14ac:dyDescent="0.25">
      <c r="A51" s="57">
        <v>1271</v>
      </c>
      <c r="B51" t="s">
        <v>48</v>
      </c>
      <c r="C51" t="s">
        <v>128</v>
      </c>
      <c r="D51" s="8">
        <v>46642</v>
      </c>
      <c r="E51" s="8">
        <v>46132</v>
      </c>
      <c r="F51" s="8">
        <v>4071</v>
      </c>
      <c r="G51" s="8">
        <v>3866</v>
      </c>
      <c r="H51" s="8">
        <v>3770</v>
      </c>
      <c r="I51" s="8">
        <v>3649</v>
      </c>
      <c r="J51" s="8">
        <v>3742</v>
      </c>
      <c r="K51" s="8">
        <v>3813</v>
      </c>
      <c r="L51" s="8">
        <v>3499</v>
      </c>
      <c r="M51" s="8">
        <v>3127</v>
      </c>
      <c r="N51" s="7">
        <f t="shared" si="0"/>
        <v>101.1055232810197</v>
      </c>
      <c r="O51" s="7">
        <f t="shared" si="1"/>
        <v>108.2857344333968</v>
      </c>
    </row>
    <row r="52" spans="1:15" x14ac:dyDescent="0.25">
      <c r="A52" s="57">
        <v>1272</v>
      </c>
      <c r="B52" t="s">
        <v>48</v>
      </c>
      <c r="C52" t="s">
        <v>129</v>
      </c>
      <c r="D52" s="8">
        <v>96288</v>
      </c>
      <c r="E52" s="8">
        <v>94161</v>
      </c>
      <c r="F52" s="8">
        <v>8320</v>
      </c>
      <c r="G52" s="8">
        <v>8433</v>
      </c>
      <c r="H52" s="8">
        <v>8183</v>
      </c>
      <c r="I52" s="8">
        <v>7339</v>
      </c>
      <c r="J52" s="8">
        <v>7747</v>
      </c>
      <c r="K52" s="8">
        <v>8157</v>
      </c>
      <c r="L52" s="8">
        <v>7647</v>
      </c>
      <c r="M52" s="8">
        <v>6644</v>
      </c>
      <c r="N52" s="7">
        <f t="shared" si="0"/>
        <v>102.25889699557142</v>
      </c>
      <c r="O52" s="7">
        <f t="shared" si="1"/>
        <v>106.88855770822985</v>
      </c>
    </row>
    <row r="53" spans="1:15" x14ac:dyDescent="0.25">
      <c r="A53" s="57">
        <v>1273</v>
      </c>
      <c r="B53" t="s">
        <v>48</v>
      </c>
      <c r="C53" t="s">
        <v>130</v>
      </c>
      <c r="D53" s="8">
        <v>139045</v>
      </c>
      <c r="E53" s="8">
        <v>142205</v>
      </c>
      <c r="F53" s="8">
        <v>12110</v>
      </c>
      <c r="G53" s="8">
        <v>11573</v>
      </c>
      <c r="H53" s="8">
        <v>10892</v>
      </c>
      <c r="I53" s="8">
        <v>9874</v>
      </c>
      <c r="J53" s="8">
        <v>11195</v>
      </c>
      <c r="K53" s="8">
        <v>11069</v>
      </c>
      <c r="L53" s="8">
        <v>10970</v>
      </c>
      <c r="M53" s="8">
        <v>9881</v>
      </c>
      <c r="N53" s="7">
        <f t="shared" si="0"/>
        <v>97.777855912239374</v>
      </c>
      <c r="O53" s="7">
        <f t="shared" si="1"/>
        <v>103.09405079438709</v>
      </c>
    </row>
    <row r="54" spans="1:15" x14ac:dyDescent="0.25">
      <c r="A54" s="57">
        <v>1274</v>
      </c>
      <c r="B54" t="s">
        <v>48</v>
      </c>
      <c r="C54" t="s">
        <v>131</v>
      </c>
      <c r="D54" s="8">
        <v>91892</v>
      </c>
      <c r="E54" s="8">
        <v>92991</v>
      </c>
      <c r="F54" s="8">
        <v>6809</v>
      </c>
      <c r="G54" s="8">
        <v>7099</v>
      </c>
      <c r="H54" s="8">
        <v>7456</v>
      </c>
      <c r="I54" s="8">
        <v>7008</v>
      </c>
      <c r="J54" s="8">
        <v>6624</v>
      </c>
      <c r="K54" s="8">
        <v>6993</v>
      </c>
      <c r="L54" s="8">
        <v>7314</v>
      </c>
      <c r="M54" s="8">
        <v>6889</v>
      </c>
      <c r="N54" s="7">
        <f t="shared" si="0"/>
        <v>98.81816519878268</v>
      </c>
      <c r="O54" s="7">
        <f t="shared" si="1"/>
        <v>101.9841840402588</v>
      </c>
    </row>
    <row r="55" spans="1:15" x14ac:dyDescent="0.25">
      <c r="A55" s="57">
        <v>1275</v>
      </c>
      <c r="B55" t="s">
        <v>48</v>
      </c>
      <c r="C55" t="s">
        <v>132</v>
      </c>
      <c r="D55" s="8">
        <v>1249098</v>
      </c>
      <c r="E55" s="8">
        <v>1261049</v>
      </c>
      <c r="F55" s="8">
        <v>95849</v>
      </c>
      <c r="G55" s="8">
        <v>98755</v>
      </c>
      <c r="H55" s="8">
        <v>98734</v>
      </c>
      <c r="I55" s="8">
        <v>98556</v>
      </c>
      <c r="J55" s="8">
        <v>90289</v>
      </c>
      <c r="K55" s="8">
        <v>93365</v>
      </c>
      <c r="L55" s="8">
        <v>97054</v>
      </c>
      <c r="M55" s="8">
        <v>97623</v>
      </c>
      <c r="N55" s="7">
        <f t="shared" si="0"/>
        <v>99.052296936915212</v>
      </c>
      <c r="O55" s="7">
        <f t="shared" si="1"/>
        <v>103.58495603056583</v>
      </c>
    </row>
    <row r="56" spans="1:15" x14ac:dyDescent="0.25">
      <c r="A56" s="57">
        <v>1276</v>
      </c>
      <c r="B56" t="s">
        <v>48</v>
      </c>
      <c r="C56" t="s">
        <v>133</v>
      </c>
      <c r="D56" s="8">
        <v>157261</v>
      </c>
      <c r="E56" s="8">
        <v>157291</v>
      </c>
      <c r="F56" s="8">
        <v>11588</v>
      </c>
      <c r="G56" s="8">
        <v>12188</v>
      </c>
      <c r="H56" s="8">
        <v>12472</v>
      </c>
      <c r="I56" s="8">
        <v>11896</v>
      </c>
      <c r="J56" s="8">
        <v>10887</v>
      </c>
      <c r="K56" s="8">
        <v>11804</v>
      </c>
      <c r="L56" s="8">
        <v>12520</v>
      </c>
      <c r="M56" s="8">
        <v>12022</v>
      </c>
      <c r="N56" s="7">
        <f t="shared" si="0"/>
        <v>99.980927071478973</v>
      </c>
      <c r="O56" s="7">
        <f t="shared" si="1"/>
        <v>101.92873626489953</v>
      </c>
    </row>
    <row r="57" spans="1:15" x14ac:dyDescent="0.25">
      <c r="A57" s="57">
        <v>1277</v>
      </c>
      <c r="B57" t="s">
        <v>48</v>
      </c>
      <c r="C57" t="s">
        <v>134</v>
      </c>
      <c r="D57" s="8">
        <v>126558</v>
      </c>
      <c r="E57" s="8">
        <v>120977</v>
      </c>
      <c r="F57" s="8">
        <v>10859</v>
      </c>
      <c r="G57" s="8">
        <v>11406</v>
      </c>
      <c r="H57" s="8">
        <v>11966</v>
      </c>
      <c r="I57" s="8">
        <v>10360</v>
      </c>
      <c r="J57" s="8">
        <v>9890</v>
      </c>
      <c r="K57" s="8">
        <v>10277</v>
      </c>
      <c r="L57" s="8">
        <v>10175</v>
      </c>
      <c r="M57" s="8">
        <v>9427</v>
      </c>
      <c r="N57" s="7">
        <f t="shared" si="0"/>
        <v>104.61327359746066</v>
      </c>
      <c r="O57" s="7">
        <f t="shared" si="1"/>
        <v>112.12502200206191</v>
      </c>
    </row>
    <row r="58" spans="1:15" x14ac:dyDescent="0.25">
      <c r="A58" s="57">
        <v>1278</v>
      </c>
      <c r="B58" t="s">
        <v>48</v>
      </c>
      <c r="C58" t="s">
        <v>135</v>
      </c>
      <c r="D58" s="8">
        <v>73297</v>
      </c>
      <c r="E58" s="8">
        <v>76442</v>
      </c>
      <c r="F58" s="8">
        <v>6852</v>
      </c>
      <c r="G58" s="8">
        <v>6266</v>
      </c>
      <c r="H58" s="8">
        <v>5259</v>
      </c>
      <c r="I58" s="8">
        <v>5194</v>
      </c>
      <c r="J58" s="8">
        <v>6517</v>
      </c>
      <c r="K58" s="8">
        <v>6172</v>
      </c>
      <c r="L58" s="8">
        <v>5567</v>
      </c>
      <c r="M58" s="8">
        <v>5923</v>
      </c>
      <c r="N58" s="7">
        <f t="shared" si="0"/>
        <v>95.885769603097771</v>
      </c>
      <c r="O58" s="7">
        <f t="shared" si="1"/>
        <v>97.485421233301622</v>
      </c>
    </row>
    <row r="59" spans="1:15" x14ac:dyDescent="0.25">
      <c r="A59" s="57">
        <v>1301</v>
      </c>
      <c r="B59" t="s">
        <v>49</v>
      </c>
      <c r="C59" t="s">
        <v>136</v>
      </c>
      <c r="D59" s="8">
        <v>49191</v>
      </c>
      <c r="E59" s="8">
        <v>46132</v>
      </c>
      <c r="F59" s="8">
        <v>4605</v>
      </c>
      <c r="G59" s="8">
        <v>3992</v>
      </c>
      <c r="H59" s="8">
        <v>3701</v>
      </c>
      <c r="I59" s="8">
        <v>3833</v>
      </c>
      <c r="J59" s="8">
        <v>4071</v>
      </c>
      <c r="K59" s="8">
        <v>3673</v>
      </c>
      <c r="L59" s="8">
        <v>3627</v>
      </c>
      <c r="M59" s="8">
        <v>3756</v>
      </c>
      <c r="N59" s="7">
        <f t="shared" si="0"/>
        <v>106.63097199341021</v>
      </c>
      <c r="O59" s="7">
        <f t="shared" si="1"/>
        <v>106.6371388907252</v>
      </c>
    </row>
    <row r="60" spans="1:15" x14ac:dyDescent="0.25">
      <c r="A60" s="57">
        <v>1302</v>
      </c>
      <c r="B60" t="s">
        <v>49</v>
      </c>
      <c r="C60" t="s">
        <v>137</v>
      </c>
      <c r="D60" s="8">
        <v>275328</v>
      </c>
      <c r="E60" s="8">
        <v>272435</v>
      </c>
      <c r="F60" s="8">
        <v>23655</v>
      </c>
      <c r="G60" s="8">
        <v>22501</v>
      </c>
      <c r="H60" s="8">
        <v>20683</v>
      </c>
      <c r="I60" s="8">
        <v>19818</v>
      </c>
      <c r="J60" s="8">
        <v>21933</v>
      </c>
      <c r="K60" s="8">
        <v>21343</v>
      </c>
      <c r="L60" s="8">
        <v>19450</v>
      </c>
      <c r="M60" s="8">
        <v>18811</v>
      </c>
      <c r="N60" s="7">
        <f t="shared" si="0"/>
        <v>101.06190467450951</v>
      </c>
      <c r="O60" s="7">
        <f t="shared" si="1"/>
        <v>106.27935783754614</v>
      </c>
    </row>
    <row r="61" spans="1:15" x14ac:dyDescent="0.25">
      <c r="A61" s="57">
        <v>1303</v>
      </c>
      <c r="B61" t="s">
        <v>49</v>
      </c>
      <c r="C61" t="s">
        <v>138</v>
      </c>
      <c r="D61" s="8">
        <v>211351</v>
      </c>
      <c r="E61" s="8">
        <v>209061</v>
      </c>
      <c r="F61" s="8">
        <v>18285</v>
      </c>
      <c r="G61" s="8">
        <v>18079</v>
      </c>
      <c r="H61" s="8">
        <v>16939</v>
      </c>
      <c r="I61" s="8">
        <v>15825</v>
      </c>
      <c r="J61" s="8">
        <v>17449</v>
      </c>
      <c r="K61" s="8">
        <v>16966</v>
      </c>
      <c r="L61" s="8">
        <v>15708</v>
      </c>
      <c r="M61" s="8">
        <v>15237</v>
      </c>
      <c r="N61" s="7">
        <f t="shared" si="0"/>
        <v>101.09537407742238</v>
      </c>
      <c r="O61" s="7">
        <f t="shared" si="1"/>
        <v>105.76499388004896</v>
      </c>
    </row>
    <row r="62" spans="1:15" x14ac:dyDescent="0.25">
      <c r="A62" s="57">
        <v>1304</v>
      </c>
      <c r="B62" t="s">
        <v>49</v>
      </c>
      <c r="C62" t="s">
        <v>139</v>
      </c>
      <c r="D62" s="8">
        <v>127741</v>
      </c>
      <c r="E62" s="8">
        <v>125027</v>
      </c>
      <c r="F62" s="8">
        <v>10974</v>
      </c>
      <c r="G62" s="8">
        <v>10453</v>
      </c>
      <c r="H62" s="8">
        <v>9308</v>
      </c>
      <c r="I62" s="8">
        <v>9147</v>
      </c>
      <c r="J62" s="8">
        <v>10468</v>
      </c>
      <c r="K62" s="8">
        <v>9600</v>
      </c>
      <c r="L62" s="8">
        <v>9092</v>
      </c>
      <c r="M62" s="8">
        <v>9244</v>
      </c>
      <c r="N62" s="7">
        <f t="shared" si="0"/>
        <v>102.17073112207764</v>
      </c>
      <c r="O62" s="7">
        <f t="shared" si="1"/>
        <v>103.84855744193314</v>
      </c>
    </row>
    <row r="63" spans="1:15" x14ac:dyDescent="0.25">
      <c r="A63" s="57">
        <v>1305</v>
      </c>
      <c r="B63" t="s">
        <v>49</v>
      </c>
      <c r="C63" t="s">
        <v>140</v>
      </c>
      <c r="D63" s="8">
        <v>200907</v>
      </c>
      <c r="E63" s="8">
        <v>196328</v>
      </c>
      <c r="F63" s="8">
        <v>16959</v>
      </c>
      <c r="G63" s="8">
        <v>17174</v>
      </c>
      <c r="H63" s="8">
        <v>16420</v>
      </c>
      <c r="I63" s="8">
        <v>14242</v>
      </c>
      <c r="J63" s="8">
        <v>15412</v>
      </c>
      <c r="K63" s="8">
        <v>15515</v>
      </c>
      <c r="L63" s="8">
        <v>14375</v>
      </c>
      <c r="M63" s="8">
        <v>12282</v>
      </c>
      <c r="N63" s="7">
        <f t="shared" si="0"/>
        <v>102.33232142129498</v>
      </c>
      <c r="O63" s="7">
        <f t="shared" si="1"/>
        <v>112.52257571547652</v>
      </c>
    </row>
    <row r="64" spans="1:15" x14ac:dyDescent="0.25">
      <c r="A64" s="57">
        <v>1306</v>
      </c>
      <c r="B64" t="s">
        <v>49</v>
      </c>
      <c r="C64" t="s">
        <v>141</v>
      </c>
      <c r="D64" s="8">
        <v>239121</v>
      </c>
      <c r="E64" s="8">
        <v>235869</v>
      </c>
      <c r="F64" s="8">
        <v>21562</v>
      </c>
      <c r="G64" s="8">
        <v>21943</v>
      </c>
      <c r="H64" s="8">
        <v>21046</v>
      </c>
      <c r="I64" s="8">
        <v>16873</v>
      </c>
      <c r="J64" s="8">
        <v>19687</v>
      </c>
      <c r="K64" s="8">
        <v>19738</v>
      </c>
      <c r="L64" s="8">
        <v>18160</v>
      </c>
      <c r="M64" s="8">
        <v>15286</v>
      </c>
      <c r="N64" s="7">
        <f t="shared" si="0"/>
        <v>101.3787314144716</v>
      </c>
      <c r="O64" s="7">
        <f t="shared" si="1"/>
        <v>111.73717939921231</v>
      </c>
    </row>
    <row r="65" spans="1:15" x14ac:dyDescent="0.25">
      <c r="A65" s="57">
        <v>1307</v>
      </c>
      <c r="B65" t="s">
        <v>49</v>
      </c>
      <c r="C65" t="s">
        <v>142</v>
      </c>
      <c r="D65" s="8">
        <v>289811</v>
      </c>
      <c r="E65" s="8">
        <v>284415</v>
      </c>
      <c r="F65" s="8">
        <v>24660</v>
      </c>
      <c r="G65" s="8">
        <v>24663</v>
      </c>
      <c r="H65" s="8">
        <v>24005</v>
      </c>
      <c r="I65" s="8">
        <v>21538</v>
      </c>
      <c r="J65" s="8">
        <v>23093</v>
      </c>
      <c r="K65" s="8">
        <v>23206</v>
      </c>
      <c r="L65" s="8">
        <v>21825</v>
      </c>
      <c r="M65" s="8">
        <v>18973</v>
      </c>
      <c r="N65" s="7">
        <f t="shared" si="0"/>
        <v>101.89722764270522</v>
      </c>
      <c r="O65" s="7">
        <f t="shared" si="1"/>
        <v>108.91993983719301</v>
      </c>
    </row>
    <row r="66" spans="1:15" x14ac:dyDescent="0.25">
      <c r="A66" s="57">
        <v>1308</v>
      </c>
      <c r="B66" t="s">
        <v>49</v>
      </c>
      <c r="C66" t="s">
        <v>143</v>
      </c>
      <c r="D66" s="8">
        <v>205973</v>
      </c>
      <c r="E66" s="8">
        <v>204354</v>
      </c>
      <c r="F66" s="8">
        <v>17822</v>
      </c>
      <c r="G66" s="8">
        <v>17433</v>
      </c>
      <c r="H66" s="8">
        <v>15815</v>
      </c>
      <c r="I66" s="8">
        <v>13448</v>
      </c>
      <c r="J66" s="8">
        <v>16623</v>
      </c>
      <c r="K66" s="8">
        <v>16106</v>
      </c>
      <c r="L66" s="8">
        <v>14254</v>
      </c>
      <c r="M66" s="8">
        <v>12765</v>
      </c>
      <c r="N66" s="7">
        <f t="shared" si="0"/>
        <v>100.79225265960051</v>
      </c>
      <c r="O66" s="7">
        <f t="shared" si="1"/>
        <v>107.98353082948384</v>
      </c>
    </row>
    <row r="67" spans="1:15" x14ac:dyDescent="0.25">
      <c r="A67" s="57">
        <v>1309</v>
      </c>
      <c r="B67" t="s">
        <v>49</v>
      </c>
      <c r="C67" t="s">
        <v>144</v>
      </c>
      <c r="D67" s="8">
        <v>165673</v>
      </c>
      <c r="E67" s="8">
        <v>162095</v>
      </c>
      <c r="F67" s="8">
        <v>14581</v>
      </c>
      <c r="G67" s="8">
        <v>14223</v>
      </c>
      <c r="H67" s="8">
        <v>13666</v>
      </c>
      <c r="I67" s="8">
        <v>12594</v>
      </c>
      <c r="J67" s="8">
        <v>13693</v>
      </c>
      <c r="K67" s="8">
        <v>13315</v>
      </c>
      <c r="L67" s="8">
        <v>12380</v>
      </c>
      <c r="M67" s="8">
        <v>11579</v>
      </c>
      <c r="N67" s="7">
        <f t="shared" si="0"/>
        <v>102.20734754310743</v>
      </c>
      <c r="O67" s="7">
        <f t="shared" si="1"/>
        <v>108.03853473816392</v>
      </c>
    </row>
    <row r="68" spans="1:15" x14ac:dyDescent="0.25">
      <c r="A68" s="57">
        <v>1310</v>
      </c>
      <c r="B68" t="s">
        <v>49</v>
      </c>
      <c r="C68" t="s">
        <v>145</v>
      </c>
      <c r="D68" s="8">
        <v>102404</v>
      </c>
      <c r="E68" s="8">
        <v>99575</v>
      </c>
      <c r="F68" s="8">
        <v>8730</v>
      </c>
      <c r="G68" s="8">
        <v>9045</v>
      </c>
      <c r="H68" s="8">
        <v>8050</v>
      </c>
      <c r="I68" s="8">
        <v>7746</v>
      </c>
      <c r="J68" s="8">
        <v>8460</v>
      </c>
      <c r="K68" s="8">
        <v>8606</v>
      </c>
      <c r="L68" s="8">
        <v>7716</v>
      </c>
      <c r="M68" s="8">
        <v>7653</v>
      </c>
      <c r="N68" s="7">
        <f t="shared" ref="N68:N131" si="2">D68/E68*100</f>
        <v>102.84107456690936</v>
      </c>
      <c r="O68" s="7">
        <f t="shared" ref="O68:O131" si="3">SUM(F68:I68)/SUM(J68:M68)*100</f>
        <v>103.50238939417295</v>
      </c>
    </row>
    <row r="69" spans="1:15" x14ac:dyDescent="0.25">
      <c r="A69" s="57">
        <v>1311</v>
      </c>
      <c r="B69" t="s">
        <v>49</v>
      </c>
      <c r="C69" t="s">
        <v>146</v>
      </c>
      <c r="D69" s="8">
        <v>127484</v>
      </c>
      <c r="E69" s="8">
        <v>124665</v>
      </c>
      <c r="F69" s="8">
        <v>10284</v>
      </c>
      <c r="G69" s="8">
        <v>10029</v>
      </c>
      <c r="H69" s="8">
        <v>9816</v>
      </c>
      <c r="I69" s="8">
        <v>9885</v>
      </c>
      <c r="J69" s="8">
        <v>9878</v>
      </c>
      <c r="K69" s="8">
        <v>9787</v>
      </c>
      <c r="L69" s="8">
        <v>10151</v>
      </c>
      <c r="M69" s="8">
        <v>10179</v>
      </c>
      <c r="N69" s="7">
        <f t="shared" si="2"/>
        <v>102.2612601772751</v>
      </c>
      <c r="O69" s="7">
        <f t="shared" si="3"/>
        <v>100.04750593824228</v>
      </c>
    </row>
    <row r="70" spans="1:15" x14ac:dyDescent="0.25">
      <c r="A70" s="57">
        <v>1312</v>
      </c>
      <c r="B70" t="s">
        <v>49</v>
      </c>
      <c r="C70" t="s">
        <v>147</v>
      </c>
      <c r="D70" s="8">
        <v>237256</v>
      </c>
      <c r="E70" s="8">
        <v>231731</v>
      </c>
      <c r="F70" s="8">
        <v>21258</v>
      </c>
      <c r="G70" s="8">
        <v>19909</v>
      </c>
      <c r="H70" s="8">
        <v>19180</v>
      </c>
      <c r="I70" s="8">
        <v>18555</v>
      </c>
      <c r="J70" s="8">
        <v>20232</v>
      </c>
      <c r="K70" s="8">
        <v>18766</v>
      </c>
      <c r="L70" s="8">
        <v>18333</v>
      </c>
      <c r="M70" s="8">
        <v>17635</v>
      </c>
      <c r="N70" s="7">
        <f t="shared" si="2"/>
        <v>102.38422999080832</v>
      </c>
      <c r="O70" s="7">
        <f t="shared" si="3"/>
        <v>105.2503801723448</v>
      </c>
    </row>
    <row r="71" spans="1:15" x14ac:dyDescent="0.25">
      <c r="A71" s="57">
        <v>1371</v>
      </c>
      <c r="B71" t="s">
        <v>49</v>
      </c>
      <c r="C71" t="s">
        <v>148</v>
      </c>
      <c r="D71" s="8">
        <v>488901</v>
      </c>
      <c r="E71" s="8">
        <v>486647</v>
      </c>
      <c r="F71" s="8">
        <v>37176</v>
      </c>
      <c r="G71" s="8">
        <v>38512</v>
      </c>
      <c r="H71" s="8">
        <v>40289</v>
      </c>
      <c r="I71" s="8">
        <v>39247</v>
      </c>
      <c r="J71" s="8">
        <v>34582</v>
      </c>
      <c r="K71" s="8">
        <v>36408</v>
      </c>
      <c r="L71" s="8">
        <v>39571</v>
      </c>
      <c r="M71" s="8">
        <v>38443</v>
      </c>
      <c r="N71" s="7">
        <f t="shared" si="2"/>
        <v>100.46316940205118</v>
      </c>
      <c r="O71" s="7">
        <f t="shared" si="3"/>
        <v>104.17438458027972</v>
      </c>
    </row>
    <row r="72" spans="1:15" x14ac:dyDescent="0.25">
      <c r="A72" s="57">
        <v>1372</v>
      </c>
      <c r="B72" t="s">
        <v>49</v>
      </c>
      <c r="C72" t="s">
        <v>149</v>
      </c>
      <c r="D72" s="8">
        <v>41674</v>
      </c>
      <c r="E72" s="8">
        <v>40980</v>
      </c>
      <c r="F72" s="8">
        <v>3281</v>
      </c>
      <c r="G72" s="8">
        <v>3411</v>
      </c>
      <c r="H72" s="8">
        <v>3304</v>
      </c>
      <c r="I72" s="8">
        <v>3200</v>
      </c>
      <c r="J72" s="8">
        <v>3137</v>
      </c>
      <c r="K72" s="8">
        <v>3080</v>
      </c>
      <c r="L72" s="8">
        <v>3363</v>
      </c>
      <c r="M72" s="8">
        <v>3322</v>
      </c>
      <c r="N72" s="7">
        <f t="shared" si="2"/>
        <v>101.69350902879452</v>
      </c>
      <c r="O72" s="7">
        <f t="shared" si="3"/>
        <v>102.27871647806541</v>
      </c>
    </row>
    <row r="73" spans="1:15" x14ac:dyDescent="0.25">
      <c r="A73" s="57">
        <v>1373</v>
      </c>
      <c r="B73" t="s">
        <v>49</v>
      </c>
      <c r="C73" t="s">
        <v>605</v>
      </c>
      <c r="D73" s="8">
        <v>35532</v>
      </c>
      <c r="E73" s="8">
        <v>35132</v>
      </c>
      <c r="F73" s="8">
        <v>2850</v>
      </c>
      <c r="G73" s="8">
        <v>2802</v>
      </c>
      <c r="H73" s="8">
        <v>2763</v>
      </c>
      <c r="I73" s="8">
        <v>2548</v>
      </c>
      <c r="J73" s="8">
        <v>2607</v>
      </c>
      <c r="K73" s="8">
        <v>2627</v>
      </c>
      <c r="L73" s="8">
        <v>2722</v>
      </c>
      <c r="M73" s="8">
        <v>2438</v>
      </c>
      <c r="N73" s="7">
        <f t="shared" si="2"/>
        <v>101.13856313332575</v>
      </c>
      <c r="O73" s="7">
        <f t="shared" si="3"/>
        <v>105.47431210313643</v>
      </c>
    </row>
    <row r="74" spans="1:15" x14ac:dyDescent="0.25">
      <c r="A74" s="57">
        <v>1374</v>
      </c>
      <c r="B74" t="s">
        <v>49</v>
      </c>
      <c r="C74" t="s">
        <v>150</v>
      </c>
      <c r="D74" s="8">
        <v>30679</v>
      </c>
      <c r="E74" s="8">
        <v>30393</v>
      </c>
      <c r="F74" s="8">
        <v>2541</v>
      </c>
      <c r="G74" s="8">
        <v>2498</v>
      </c>
      <c r="H74" s="8">
        <v>2390</v>
      </c>
      <c r="I74" s="8">
        <v>2329</v>
      </c>
      <c r="J74" s="8">
        <v>2345</v>
      </c>
      <c r="K74" s="8">
        <v>2497</v>
      </c>
      <c r="L74" s="8">
        <v>2507</v>
      </c>
      <c r="M74" s="8">
        <v>2221</v>
      </c>
      <c r="N74" s="7">
        <f t="shared" si="2"/>
        <v>100.94100615273254</v>
      </c>
      <c r="O74" s="7">
        <f t="shared" si="3"/>
        <v>101.96447230929991</v>
      </c>
    </row>
    <row r="75" spans="1:15" x14ac:dyDescent="0.25">
      <c r="A75" s="57">
        <v>1375</v>
      </c>
      <c r="B75" t="s">
        <v>49</v>
      </c>
      <c r="C75" t="s">
        <v>151</v>
      </c>
      <c r="D75" s="8">
        <v>63183</v>
      </c>
      <c r="E75" s="8">
        <v>63581</v>
      </c>
      <c r="F75" s="8">
        <v>5089</v>
      </c>
      <c r="G75" s="8">
        <v>4931</v>
      </c>
      <c r="H75" s="8">
        <v>5023</v>
      </c>
      <c r="I75" s="8">
        <v>4746</v>
      </c>
      <c r="J75" s="8">
        <v>4831</v>
      </c>
      <c r="K75" s="8">
        <v>4813</v>
      </c>
      <c r="L75" s="8">
        <v>4942</v>
      </c>
      <c r="M75" s="8">
        <v>4793</v>
      </c>
      <c r="N75" s="7">
        <f t="shared" si="2"/>
        <v>99.374026831915202</v>
      </c>
      <c r="O75" s="7">
        <f t="shared" si="3"/>
        <v>102.11569224418184</v>
      </c>
    </row>
    <row r="76" spans="1:15" x14ac:dyDescent="0.25">
      <c r="A76" s="57">
        <v>1376</v>
      </c>
      <c r="B76" t="s">
        <v>49</v>
      </c>
      <c r="C76" t="s">
        <v>152</v>
      </c>
      <c r="D76" s="8">
        <v>75545</v>
      </c>
      <c r="E76" s="8">
        <v>74901</v>
      </c>
      <c r="F76" s="8">
        <v>5944</v>
      </c>
      <c r="G76" s="8">
        <v>5693</v>
      </c>
      <c r="H76" s="8">
        <v>5858</v>
      </c>
      <c r="I76" s="8">
        <v>5364</v>
      </c>
      <c r="J76" s="8">
        <v>5797</v>
      </c>
      <c r="K76" s="8">
        <v>5564</v>
      </c>
      <c r="L76" s="8">
        <v>5738</v>
      </c>
      <c r="M76" s="8">
        <v>5350</v>
      </c>
      <c r="N76" s="7">
        <f t="shared" si="2"/>
        <v>100.85980160478498</v>
      </c>
      <c r="O76" s="7">
        <f t="shared" si="3"/>
        <v>101.82636197603456</v>
      </c>
    </row>
    <row r="77" spans="1:15" x14ac:dyDescent="0.25">
      <c r="A77" s="57">
        <v>1377</v>
      </c>
      <c r="B77" t="s">
        <v>49</v>
      </c>
      <c r="C77" t="s">
        <v>153</v>
      </c>
      <c r="D77" s="8">
        <v>50824</v>
      </c>
      <c r="E77" s="8">
        <v>49692</v>
      </c>
      <c r="F77" s="8">
        <v>4252</v>
      </c>
      <c r="G77" s="8">
        <v>4346</v>
      </c>
      <c r="H77" s="8">
        <v>4294</v>
      </c>
      <c r="I77" s="8">
        <v>3891</v>
      </c>
      <c r="J77" s="8">
        <v>3765</v>
      </c>
      <c r="K77" s="8">
        <v>4000</v>
      </c>
      <c r="L77" s="8">
        <v>3909</v>
      </c>
      <c r="M77" s="8">
        <v>3595</v>
      </c>
      <c r="N77" s="7">
        <f t="shared" si="2"/>
        <v>102.27803268131692</v>
      </c>
      <c r="O77" s="7">
        <f t="shared" si="3"/>
        <v>109.91551509594603</v>
      </c>
    </row>
    <row r="78" spans="1:15" x14ac:dyDescent="0.25">
      <c r="A78" s="57">
        <v>1401</v>
      </c>
      <c r="B78" t="s">
        <v>50</v>
      </c>
      <c r="C78" t="s">
        <v>154</v>
      </c>
      <c r="D78" s="8">
        <v>180558</v>
      </c>
      <c r="E78" s="8">
        <v>175662</v>
      </c>
      <c r="F78" s="8">
        <v>15067</v>
      </c>
      <c r="G78" s="8">
        <v>14496</v>
      </c>
      <c r="H78" s="8">
        <v>14309</v>
      </c>
      <c r="I78" s="8">
        <v>13826</v>
      </c>
      <c r="J78" s="8">
        <v>14150</v>
      </c>
      <c r="K78" s="8">
        <v>14295</v>
      </c>
      <c r="L78" s="8">
        <v>13818</v>
      </c>
      <c r="M78" s="8">
        <v>13584</v>
      </c>
      <c r="N78" s="7">
        <f t="shared" si="2"/>
        <v>102.78717081668202</v>
      </c>
      <c r="O78" s="7">
        <f t="shared" si="3"/>
        <v>103.31441259154475</v>
      </c>
    </row>
    <row r="79" spans="1:15" x14ac:dyDescent="0.25">
      <c r="A79" s="57">
        <v>1402</v>
      </c>
      <c r="B79" t="s">
        <v>50</v>
      </c>
      <c r="C79" t="s">
        <v>155</v>
      </c>
      <c r="D79" s="8">
        <v>245486</v>
      </c>
      <c r="E79" s="8">
        <v>234850</v>
      </c>
      <c r="F79" s="8">
        <v>21033</v>
      </c>
      <c r="G79" s="8">
        <v>19243</v>
      </c>
      <c r="H79" s="8">
        <v>18851</v>
      </c>
      <c r="I79" s="8">
        <v>19475</v>
      </c>
      <c r="J79" s="8">
        <v>19844</v>
      </c>
      <c r="K79" s="8">
        <v>18422</v>
      </c>
      <c r="L79" s="8">
        <v>18638</v>
      </c>
      <c r="M79" s="8">
        <v>18877</v>
      </c>
      <c r="N79" s="7">
        <f t="shared" si="2"/>
        <v>104.52884820097934</v>
      </c>
      <c r="O79" s="7">
        <f t="shared" si="3"/>
        <v>103.72256898167088</v>
      </c>
    </row>
    <row r="80" spans="1:15" x14ac:dyDescent="0.25">
      <c r="A80" s="57">
        <v>1403</v>
      </c>
      <c r="B80" t="s">
        <v>50</v>
      </c>
      <c r="C80" t="s">
        <v>156</v>
      </c>
      <c r="D80" s="8">
        <v>360229</v>
      </c>
      <c r="E80" s="8">
        <v>339095</v>
      </c>
      <c r="F80" s="8">
        <v>28899</v>
      </c>
      <c r="G80" s="8">
        <v>29839</v>
      </c>
      <c r="H80" s="8">
        <v>28463</v>
      </c>
      <c r="I80" s="8">
        <v>27646</v>
      </c>
      <c r="J80" s="8">
        <v>27345</v>
      </c>
      <c r="K80" s="8">
        <v>28038</v>
      </c>
      <c r="L80" s="8">
        <v>26232</v>
      </c>
      <c r="M80" s="8">
        <v>25753</v>
      </c>
      <c r="N80" s="7">
        <f t="shared" si="2"/>
        <v>106.23247172621242</v>
      </c>
      <c r="O80" s="7">
        <f t="shared" si="3"/>
        <v>106.96576261083376</v>
      </c>
    </row>
    <row r="81" spans="1:15" x14ac:dyDescent="0.25">
      <c r="A81" s="57">
        <v>1404</v>
      </c>
      <c r="B81" t="s">
        <v>50</v>
      </c>
      <c r="C81" t="s">
        <v>157</v>
      </c>
      <c r="D81" s="8">
        <v>219583</v>
      </c>
      <c r="E81" s="8">
        <v>207851</v>
      </c>
      <c r="F81" s="8">
        <v>17983</v>
      </c>
      <c r="G81" s="8">
        <v>16399</v>
      </c>
      <c r="H81" s="8">
        <v>16899</v>
      </c>
      <c r="I81" s="8">
        <v>17598</v>
      </c>
      <c r="J81" s="8">
        <v>16775</v>
      </c>
      <c r="K81" s="8">
        <v>15984</v>
      </c>
      <c r="L81" s="8">
        <v>16914</v>
      </c>
      <c r="M81" s="8">
        <v>17680</v>
      </c>
      <c r="N81" s="7">
        <f t="shared" si="2"/>
        <v>105.6444279796585</v>
      </c>
      <c r="O81" s="7">
        <f t="shared" si="3"/>
        <v>102.26567487713984</v>
      </c>
    </row>
    <row r="82" spans="1:15" x14ac:dyDescent="0.25">
      <c r="A82" s="57">
        <v>1405</v>
      </c>
      <c r="B82" t="s">
        <v>50</v>
      </c>
      <c r="C82" t="s">
        <v>158</v>
      </c>
      <c r="D82" s="8">
        <v>255219</v>
      </c>
      <c r="E82" s="8">
        <v>241672</v>
      </c>
      <c r="F82" s="8">
        <v>22738</v>
      </c>
      <c r="G82" s="8">
        <v>21589</v>
      </c>
      <c r="H82" s="8">
        <v>20079</v>
      </c>
      <c r="I82" s="8">
        <v>18962</v>
      </c>
      <c r="J82" s="8">
        <v>21458</v>
      </c>
      <c r="K82" s="8">
        <v>20547</v>
      </c>
      <c r="L82" s="8">
        <v>18864</v>
      </c>
      <c r="M82" s="8">
        <v>18117</v>
      </c>
      <c r="N82" s="7">
        <f t="shared" si="2"/>
        <v>105.60553146413321</v>
      </c>
      <c r="O82" s="7">
        <f t="shared" si="3"/>
        <v>105.5478186007647</v>
      </c>
    </row>
    <row r="83" spans="1:15" x14ac:dyDescent="0.25">
      <c r="A83" s="57">
        <v>1406</v>
      </c>
      <c r="B83" t="s">
        <v>50</v>
      </c>
      <c r="C83" t="s">
        <v>159</v>
      </c>
      <c r="D83" s="8">
        <v>470619</v>
      </c>
      <c r="E83" s="8">
        <v>451054</v>
      </c>
      <c r="F83" s="8">
        <v>36669</v>
      </c>
      <c r="G83" s="8">
        <v>38404</v>
      </c>
      <c r="H83" s="8">
        <v>38873</v>
      </c>
      <c r="I83" s="8">
        <v>37475</v>
      </c>
      <c r="J83" s="8">
        <v>34399</v>
      </c>
      <c r="K83" s="8">
        <v>37753</v>
      </c>
      <c r="L83" s="8">
        <v>38099</v>
      </c>
      <c r="M83" s="8">
        <v>36106</v>
      </c>
      <c r="N83" s="7">
        <f t="shared" si="2"/>
        <v>104.33761811224376</v>
      </c>
      <c r="O83" s="7">
        <f t="shared" si="3"/>
        <v>103.46003265986594</v>
      </c>
    </row>
    <row r="84" spans="1:15" x14ac:dyDescent="0.25">
      <c r="A84" s="57">
        <v>1407</v>
      </c>
      <c r="B84" t="s">
        <v>50</v>
      </c>
      <c r="C84" t="s">
        <v>160</v>
      </c>
      <c r="D84" s="8">
        <v>310125</v>
      </c>
      <c r="E84" s="8">
        <v>299567</v>
      </c>
      <c r="F84" s="8">
        <v>29059</v>
      </c>
      <c r="G84" s="8">
        <v>26931</v>
      </c>
      <c r="H84" s="8">
        <v>23753</v>
      </c>
      <c r="I84" s="8">
        <v>23640</v>
      </c>
      <c r="J84" s="8">
        <v>27643</v>
      </c>
      <c r="K84" s="8">
        <v>25509</v>
      </c>
      <c r="L84" s="8">
        <v>23791</v>
      </c>
      <c r="M84" s="8">
        <v>23972</v>
      </c>
      <c r="N84" s="7">
        <f t="shared" si="2"/>
        <v>103.52442024655586</v>
      </c>
      <c r="O84" s="7">
        <f t="shared" si="3"/>
        <v>102.44562255363425</v>
      </c>
    </row>
    <row r="85" spans="1:15" x14ac:dyDescent="0.25">
      <c r="A85" s="57">
        <v>1408</v>
      </c>
      <c r="B85" t="s">
        <v>50</v>
      </c>
      <c r="C85" t="s">
        <v>161</v>
      </c>
      <c r="D85" s="8">
        <v>308983</v>
      </c>
      <c r="E85" s="8">
        <v>295548</v>
      </c>
      <c r="F85" s="8">
        <v>20974</v>
      </c>
      <c r="G85" s="8">
        <v>23970</v>
      </c>
      <c r="H85" s="8">
        <v>24399</v>
      </c>
      <c r="I85" s="8">
        <v>22504</v>
      </c>
      <c r="J85" s="8">
        <v>19969</v>
      </c>
      <c r="K85" s="8">
        <v>22298</v>
      </c>
      <c r="L85" s="8">
        <v>22533</v>
      </c>
      <c r="M85" s="8">
        <v>21796</v>
      </c>
      <c r="N85" s="7">
        <f t="shared" si="2"/>
        <v>104.54579289996889</v>
      </c>
      <c r="O85" s="7">
        <f t="shared" si="3"/>
        <v>106.06379047531065</v>
      </c>
    </row>
    <row r="86" spans="1:15" x14ac:dyDescent="0.25">
      <c r="A86" s="57">
        <v>1409</v>
      </c>
      <c r="B86" t="s">
        <v>50</v>
      </c>
      <c r="C86" t="s">
        <v>162</v>
      </c>
      <c r="D86" s="8">
        <v>353253</v>
      </c>
      <c r="E86" s="8">
        <v>338573</v>
      </c>
      <c r="F86" s="8">
        <v>32306</v>
      </c>
      <c r="G86" s="8">
        <v>30197</v>
      </c>
      <c r="H86" s="8">
        <v>28077</v>
      </c>
      <c r="I86" s="8">
        <v>25695</v>
      </c>
      <c r="J86" s="8">
        <v>30655</v>
      </c>
      <c r="K86" s="8">
        <v>28985</v>
      </c>
      <c r="L86" s="8">
        <v>26628</v>
      </c>
      <c r="M86" s="8">
        <v>24785</v>
      </c>
      <c r="N86" s="7">
        <f t="shared" si="2"/>
        <v>104.33584485472853</v>
      </c>
      <c r="O86" s="7">
        <f t="shared" si="3"/>
        <v>104.70225928160428</v>
      </c>
    </row>
    <row r="87" spans="1:15" x14ac:dyDescent="0.25">
      <c r="A87" s="57">
        <v>1410</v>
      </c>
      <c r="B87" t="s">
        <v>50</v>
      </c>
      <c r="C87" t="s">
        <v>163</v>
      </c>
      <c r="D87" s="8">
        <v>112324</v>
      </c>
      <c r="E87" s="8">
        <v>105083</v>
      </c>
      <c r="F87" s="8">
        <v>9361</v>
      </c>
      <c r="G87" s="8">
        <v>9533</v>
      </c>
      <c r="H87" s="8">
        <v>9452</v>
      </c>
      <c r="I87" s="8">
        <v>8972</v>
      </c>
      <c r="J87" s="8">
        <v>8977</v>
      </c>
      <c r="K87" s="8">
        <v>8890</v>
      </c>
      <c r="L87" s="8">
        <v>8083</v>
      </c>
      <c r="M87" s="8">
        <v>7755</v>
      </c>
      <c r="N87" s="7">
        <f t="shared" si="2"/>
        <v>106.89074350751311</v>
      </c>
      <c r="O87" s="7">
        <f t="shared" si="3"/>
        <v>110.71947782228155</v>
      </c>
    </row>
    <row r="88" spans="1:15" x14ac:dyDescent="0.25">
      <c r="A88" s="57">
        <v>1471</v>
      </c>
      <c r="B88" t="s">
        <v>50</v>
      </c>
      <c r="C88" t="s">
        <v>164</v>
      </c>
      <c r="D88" s="8">
        <v>524297</v>
      </c>
      <c r="E88" s="8">
        <v>521749</v>
      </c>
      <c r="F88" s="8">
        <v>39619</v>
      </c>
      <c r="G88" s="8">
        <v>40401</v>
      </c>
      <c r="H88" s="8">
        <v>41011</v>
      </c>
      <c r="I88" s="8">
        <v>40684</v>
      </c>
      <c r="J88" s="8">
        <v>37537</v>
      </c>
      <c r="K88" s="8">
        <v>40497</v>
      </c>
      <c r="L88" s="8">
        <v>42197</v>
      </c>
      <c r="M88" s="8">
        <v>41800</v>
      </c>
      <c r="N88" s="7">
        <f t="shared" si="2"/>
        <v>100.48835742857199</v>
      </c>
      <c r="O88" s="7">
        <f t="shared" si="3"/>
        <v>99.804975591090596</v>
      </c>
    </row>
    <row r="89" spans="1:15" x14ac:dyDescent="0.25">
      <c r="A89" s="57">
        <v>1473</v>
      </c>
      <c r="B89" t="s">
        <v>50</v>
      </c>
      <c r="C89" t="s">
        <v>165</v>
      </c>
      <c r="D89" s="8">
        <v>174484</v>
      </c>
      <c r="E89" s="8">
        <v>166522</v>
      </c>
      <c r="F89" s="8">
        <v>13950</v>
      </c>
      <c r="G89" s="8">
        <v>14224</v>
      </c>
      <c r="H89" s="8">
        <v>14219</v>
      </c>
      <c r="I89" s="8">
        <v>13426</v>
      </c>
      <c r="J89" s="8">
        <v>12947</v>
      </c>
      <c r="K89" s="8">
        <v>13244</v>
      </c>
      <c r="L89" s="8">
        <v>13501</v>
      </c>
      <c r="M89" s="8">
        <v>13092</v>
      </c>
      <c r="N89" s="7">
        <f t="shared" si="2"/>
        <v>104.78135021198401</v>
      </c>
      <c r="O89" s="7">
        <f t="shared" si="3"/>
        <v>105.74984843892088</v>
      </c>
    </row>
    <row r="90" spans="1:15" x14ac:dyDescent="0.25">
      <c r="A90" s="57">
        <v>1501</v>
      </c>
      <c r="B90" t="s">
        <v>51</v>
      </c>
      <c r="C90" t="s">
        <v>166</v>
      </c>
      <c r="D90" s="8">
        <v>130116</v>
      </c>
      <c r="E90" s="8">
        <v>129524</v>
      </c>
      <c r="F90" s="8">
        <v>9509</v>
      </c>
      <c r="G90" s="8">
        <v>9522</v>
      </c>
      <c r="H90" s="8">
        <v>9574</v>
      </c>
      <c r="I90" s="8">
        <v>9472</v>
      </c>
      <c r="J90" s="8">
        <v>9104</v>
      </c>
      <c r="K90" s="8">
        <v>9325</v>
      </c>
      <c r="L90" s="8">
        <v>9372</v>
      </c>
      <c r="M90" s="8">
        <v>9438</v>
      </c>
      <c r="N90" s="7">
        <f t="shared" si="2"/>
        <v>100.45705815138508</v>
      </c>
      <c r="O90" s="7">
        <f t="shared" si="3"/>
        <v>102.25032895620183</v>
      </c>
    </row>
    <row r="91" spans="1:15" x14ac:dyDescent="0.25">
      <c r="A91" s="57">
        <v>1502</v>
      </c>
      <c r="B91" t="s">
        <v>51</v>
      </c>
      <c r="C91" t="s">
        <v>167</v>
      </c>
      <c r="D91" s="8">
        <v>193886</v>
      </c>
      <c r="E91" s="8">
        <v>189338</v>
      </c>
      <c r="F91" s="8">
        <v>16015</v>
      </c>
      <c r="G91" s="8">
        <v>15565</v>
      </c>
      <c r="H91" s="8">
        <v>14895</v>
      </c>
      <c r="I91" s="8">
        <v>14553</v>
      </c>
      <c r="J91" s="8">
        <v>15377</v>
      </c>
      <c r="K91" s="8">
        <v>15559</v>
      </c>
      <c r="L91" s="8">
        <v>15246</v>
      </c>
      <c r="M91" s="8">
        <v>15038</v>
      </c>
      <c r="N91" s="7">
        <f t="shared" si="2"/>
        <v>102.40205347051305</v>
      </c>
      <c r="O91" s="7">
        <f t="shared" si="3"/>
        <v>99.686377000980073</v>
      </c>
    </row>
    <row r="92" spans="1:15" x14ac:dyDescent="0.25">
      <c r="A92" s="57">
        <v>1503</v>
      </c>
      <c r="B92" t="s">
        <v>51</v>
      </c>
      <c r="C92" t="s">
        <v>168</v>
      </c>
      <c r="D92" s="8">
        <v>159934</v>
      </c>
      <c r="E92" s="8">
        <v>154801</v>
      </c>
      <c r="F92" s="8">
        <v>12555</v>
      </c>
      <c r="G92" s="8">
        <v>12417</v>
      </c>
      <c r="H92" s="8">
        <v>12037</v>
      </c>
      <c r="I92" s="8">
        <v>11795</v>
      </c>
      <c r="J92" s="8">
        <v>12109</v>
      </c>
      <c r="K92" s="8">
        <v>12320</v>
      </c>
      <c r="L92" s="8">
        <v>12051</v>
      </c>
      <c r="M92" s="8">
        <v>11777</v>
      </c>
      <c r="N92" s="7">
        <f t="shared" si="2"/>
        <v>103.31587005251903</v>
      </c>
      <c r="O92" s="7">
        <f t="shared" si="3"/>
        <v>101.13351430880495</v>
      </c>
    </row>
    <row r="93" spans="1:15" x14ac:dyDescent="0.25">
      <c r="A93" s="57">
        <v>1504</v>
      </c>
      <c r="B93" t="s">
        <v>51</v>
      </c>
      <c r="C93" t="s">
        <v>169</v>
      </c>
      <c r="D93" s="8">
        <v>164584</v>
      </c>
      <c r="E93" s="8">
        <v>159330</v>
      </c>
      <c r="F93" s="8">
        <v>13464</v>
      </c>
      <c r="G93" s="8">
        <v>13147</v>
      </c>
      <c r="H93" s="8">
        <v>12764</v>
      </c>
      <c r="I93" s="8">
        <v>12610</v>
      </c>
      <c r="J93" s="8">
        <v>12598</v>
      </c>
      <c r="K93" s="8">
        <v>12909</v>
      </c>
      <c r="L93" s="8">
        <v>12749</v>
      </c>
      <c r="M93" s="8">
        <v>12352</v>
      </c>
      <c r="N93" s="7">
        <f t="shared" si="2"/>
        <v>103.297558526329</v>
      </c>
      <c r="O93" s="7">
        <f t="shared" si="3"/>
        <v>102.72091368953524</v>
      </c>
    </row>
    <row r="94" spans="1:15" x14ac:dyDescent="0.25">
      <c r="A94" s="57">
        <v>1505</v>
      </c>
      <c r="B94" t="s">
        <v>51</v>
      </c>
      <c r="C94" t="s">
        <v>170</v>
      </c>
      <c r="D94" s="8">
        <v>223074</v>
      </c>
      <c r="E94" s="8">
        <v>212721</v>
      </c>
      <c r="F94" s="8">
        <v>17461</v>
      </c>
      <c r="G94" s="8">
        <v>17515</v>
      </c>
      <c r="H94" s="8">
        <v>17452</v>
      </c>
      <c r="I94" s="8">
        <v>17589</v>
      </c>
      <c r="J94" s="8">
        <v>16534</v>
      </c>
      <c r="K94" s="8">
        <v>17163</v>
      </c>
      <c r="L94" s="8">
        <v>17120</v>
      </c>
      <c r="M94" s="8">
        <v>17243</v>
      </c>
      <c r="N94" s="7">
        <f t="shared" si="2"/>
        <v>104.86693838408057</v>
      </c>
      <c r="O94" s="7">
        <f t="shared" si="3"/>
        <v>102.87540405524538</v>
      </c>
    </row>
    <row r="95" spans="1:15" x14ac:dyDescent="0.25">
      <c r="A95" s="57">
        <v>1506</v>
      </c>
      <c r="B95" t="s">
        <v>51</v>
      </c>
      <c r="C95" t="s">
        <v>171</v>
      </c>
      <c r="D95" s="8">
        <v>123626</v>
      </c>
      <c r="E95" s="8">
        <v>119629</v>
      </c>
      <c r="F95" s="8">
        <v>9329</v>
      </c>
      <c r="G95" s="8">
        <v>9457</v>
      </c>
      <c r="H95" s="8">
        <v>9289</v>
      </c>
      <c r="I95" s="8">
        <v>9343</v>
      </c>
      <c r="J95" s="8">
        <v>8919</v>
      </c>
      <c r="K95" s="8">
        <v>8856</v>
      </c>
      <c r="L95" s="8">
        <v>8747</v>
      </c>
      <c r="M95" s="8">
        <v>9040</v>
      </c>
      <c r="N95" s="7">
        <f t="shared" si="2"/>
        <v>103.34116309590485</v>
      </c>
      <c r="O95" s="7">
        <f t="shared" si="3"/>
        <v>105.21905404645409</v>
      </c>
    </row>
    <row r="96" spans="1:15" x14ac:dyDescent="0.25">
      <c r="A96" s="57">
        <v>1507</v>
      </c>
      <c r="B96" t="s">
        <v>51</v>
      </c>
      <c r="C96" t="s">
        <v>172</v>
      </c>
      <c r="D96" s="8">
        <v>176526</v>
      </c>
      <c r="E96" s="8">
        <v>167605</v>
      </c>
      <c r="F96" s="8">
        <v>13809</v>
      </c>
      <c r="G96" s="8">
        <v>14308</v>
      </c>
      <c r="H96" s="8">
        <v>15159</v>
      </c>
      <c r="I96" s="8">
        <v>14612</v>
      </c>
      <c r="J96" s="8">
        <v>13169</v>
      </c>
      <c r="K96" s="8">
        <v>13812</v>
      </c>
      <c r="L96" s="8">
        <v>14147</v>
      </c>
      <c r="M96" s="8">
        <v>13307</v>
      </c>
      <c r="N96" s="7">
        <f t="shared" si="2"/>
        <v>105.3226335729841</v>
      </c>
      <c r="O96" s="7">
        <f t="shared" si="3"/>
        <v>106.34334527418021</v>
      </c>
    </row>
    <row r="97" spans="1:15" x14ac:dyDescent="0.25">
      <c r="A97" s="57">
        <v>1508</v>
      </c>
      <c r="B97" t="s">
        <v>51</v>
      </c>
      <c r="C97" t="s">
        <v>173</v>
      </c>
      <c r="D97" s="8">
        <v>186076</v>
      </c>
      <c r="E97" s="8">
        <v>177818</v>
      </c>
      <c r="F97" s="8">
        <v>14385</v>
      </c>
      <c r="G97" s="8">
        <v>14338</v>
      </c>
      <c r="H97" s="8">
        <v>14070</v>
      </c>
      <c r="I97" s="8">
        <v>14006</v>
      </c>
      <c r="J97" s="8">
        <v>13641</v>
      </c>
      <c r="K97" s="8">
        <v>13947</v>
      </c>
      <c r="L97" s="8">
        <v>13870</v>
      </c>
      <c r="M97" s="8">
        <v>13797</v>
      </c>
      <c r="N97" s="7">
        <f t="shared" si="2"/>
        <v>104.64407427819455</v>
      </c>
      <c r="O97" s="7">
        <f t="shared" si="3"/>
        <v>102.79431725635688</v>
      </c>
    </row>
    <row r="98" spans="1:15" x14ac:dyDescent="0.25">
      <c r="A98" s="57">
        <v>1509</v>
      </c>
      <c r="B98" t="s">
        <v>51</v>
      </c>
      <c r="C98" t="s">
        <v>174</v>
      </c>
      <c r="D98" s="8">
        <v>198545</v>
      </c>
      <c r="E98" s="8">
        <v>192307</v>
      </c>
      <c r="F98" s="8">
        <v>16650</v>
      </c>
      <c r="G98" s="8">
        <v>16292</v>
      </c>
      <c r="H98" s="8">
        <v>15674</v>
      </c>
      <c r="I98" s="8">
        <v>15553</v>
      </c>
      <c r="J98" s="8">
        <v>15664</v>
      </c>
      <c r="K98" s="8">
        <v>15681</v>
      </c>
      <c r="L98" s="8">
        <v>15295</v>
      </c>
      <c r="M98" s="8">
        <v>15100</v>
      </c>
      <c r="N98" s="7">
        <f t="shared" si="2"/>
        <v>103.24377167757804</v>
      </c>
      <c r="O98" s="7">
        <f t="shared" si="3"/>
        <v>103.93424036281178</v>
      </c>
    </row>
    <row r="99" spans="1:15" x14ac:dyDescent="0.25">
      <c r="A99" s="57">
        <v>1571</v>
      </c>
      <c r="B99" t="s">
        <v>51</v>
      </c>
      <c r="C99" t="s">
        <v>175</v>
      </c>
      <c r="D99" s="8">
        <v>326195</v>
      </c>
      <c r="E99" s="8">
        <v>323065</v>
      </c>
      <c r="F99" s="8">
        <v>26266</v>
      </c>
      <c r="G99" s="8">
        <v>26090</v>
      </c>
      <c r="H99" s="8">
        <v>25555</v>
      </c>
      <c r="I99" s="8">
        <v>25197</v>
      </c>
      <c r="J99" s="8">
        <v>25008</v>
      </c>
      <c r="K99" s="8">
        <v>25333</v>
      </c>
      <c r="L99" s="8">
        <v>25190</v>
      </c>
      <c r="M99" s="8">
        <v>25208</v>
      </c>
      <c r="N99" s="7">
        <f t="shared" si="2"/>
        <v>100.96884527881387</v>
      </c>
      <c r="O99" s="7">
        <f t="shared" si="3"/>
        <v>102.35162151698944</v>
      </c>
    </row>
    <row r="100" spans="1:15" x14ac:dyDescent="0.25">
      <c r="A100" s="57">
        <v>1572</v>
      </c>
      <c r="B100" t="s">
        <v>51</v>
      </c>
      <c r="C100" t="s">
        <v>176</v>
      </c>
      <c r="D100" s="8">
        <v>51852</v>
      </c>
      <c r="E100" s="8">
        <v>51109</v>
      </c>
      <c r="F100" s="8">
        <v>3976</v>
      </c>
      <c r="G100" s="8">
        <v>3982</v>
      </c>
      <c r="H100" s="8">
        <v>3970</v>
      </c>
      <c r="I100" s="8">
        <v>3869</v>
      </c>
      <c r="J100" s="8">
        <v>3681</v>
      </c>
      <c r="K100" s="8">
        <v>3801</v>
      </c>
      <c r="L100" s="8">
        <v>3809</v>
      </c>
      <c r="M100" s="8">
        <v>3728</v>
      </c>
      <c r="N100" s="7">
        <f t="shared" si="2"/>
        <v>101.45375569860495</v>
      </c>
      <c r="O100" s="7">
        <f t="shared" si="3"/>
        <v>105.18010520007989</v>
      </c>
    </row>
    <row r="101" spans="1:15" x14ac:dyDescent="0.25">
      <c r="A101" s="57">
        <v>1601</v>
      </c>
      <c r="B101" t="s">
        <v>52</v>
      </c>
      <c r="C101" t="s">
        <v>177</v>
      </c>
      <c r="D101" s="8">
        <v>199514</v>
      </c>
      <c r="E101" s="8">
        <v>190956</v>
      </c>
      <c r="F101" s="8">
        <v>15022</v>
      </c>
      <c r="G101" s="8">
        <v>15217</v>
      </c>
      <c r="H101" s="8">
        <v>15146</v>
      </c>
      <c r="I101" s="8">
        <v>15207</v>
      </c>
      <c r="J101" s="8">
        <v>14135</v>
      </c>
      <c r="K101" s="8">
        <v>14348</v>
      </c>
      <c r="L101" s="8">
        <v>14308</v>
      </c>
      <c r="M101" s="8">
        <v>14521</v>
      </c>
      <c r="N101" s="7">
        <f t="shared" si="2"/>
        <v>104.48166069670499</v>
      </c>
      <c r="O101" s="7">
        <f t="shared" si="3"/>
        <v>105.72305974316025</v>
      </c>
    </row>
    <row r="102" spans="1:15" x14ac:dyDescent="0.25">
      <c r="A102" s="57">
        <v>1602</v>
      </c>
      <c r="B102" t="s">
        <v>52</v>
      </c>
      <c r="C102" t="s">
        <v>178</v>
      </c>
      <c r="D102" s="8">
        <v>422985</v>
      </c>
      <c r="E102" s="8">
        <v>402707</v>
      </c>
      <c r="F102" s="8">
        <v>33294</v>
      </c>
      <c r="G102" s="8">
        <v>33115</v>
      </c>
      <c r="H102" s="8">
        <v>33221</v>
      </c>
      <c r="I102" s="8">
        <v>31923</v>
      </c>
      <c r="J102" s="8">
        <v>30951</v>
      </c>
      <c r="K102" s="8">
        <v>30868</v>
      </c>
      <c r="L102" s="8">
        <v>32177</v>
      </c>
      <c r="M102" s="8">
        <v>30682</v>
      </c>
      <c r="N102" s="7">
        <f t="shared" si="2"/>
        <v>105.03542277636097</v>
      </c>
      <c r="O102" s="7">
        <f t="shared" si="3"/>
        <v>105.5142045910265</v>
      </c>
    </row>
    <row r="103" spans="1:15" x14ac:dyDescent="0.25">
      <c r="A103" s="57">
        <v>1603</v>
      </c>
      <c r="B103" t="s">
        <v>52</v>
      </c>
      <c r="C103" t="s">
        <v>179</v>
      </c>
      <c r="D103" s="8">
        <v>333480</v>
      </c>
      <c r="E103" s="8">
        <v>321240</v>
      </c>
      <c r="F103" s="8">
        <v>25186</v>
      </c>
      <c r="G103" s="8">
        <v>26261</v>
      </c>
      <c r="H103" s="8">
        <v>25896</v>
      </c>
      <c r="I103" s="8">
        <v>25559</v>
      </c>
      <c r="J103" s="8">
        <v>23624</v>
      </c>
      <c r="K103" s="8">
        <v>24581</v>
      </c>
      <c r="L103" s="8">
        <v>24342</v>
      </c>
      <c r="M103" s="8">
        <v>24274</v>
      </c>
      <c r="N103" s="7">
        <f t="shared" si="2"/>
        <v>103.810235338065</v>
      </c>
      <c r="O103" s="7">
        <f t="shared" si="3"/>
        <v>106.28066225302362</v>
      </c>
    </row>
    <row r="104" spans="1:15" x14ac:dyDescent="0.25">
      <c r="A104" s="57">
        <v>1604</v>
      </c>
      <c r="B104" t="s">
        <v>52</v>
      </c>
      <c r="C104" t="s">
        <v>180</v>
      </c>
      <c r="D104" s="8">
        <v>235206</v>
      </c>
      <c r="E104" s="8">
        <v>225608</v>
      </c>
      <c r="F104" s="8">
        <v>19585</v>
      </c>
      <c r="G104" s="8">
        <v>19194</v>
      </c>
      <c r="H104" s="8">
        <v>16763</v>
      </c>
      <c r="I104" s="8">
        <v>17120</v>
      </c>
      <c r="J104" s="8">
        <v>18495</v>
      </c>
      <c r="K104" s="8">
        <v>18145</v>
      </c>
      <c r="L104" s="8">
        <v>15269</v>
      </c>
      <c r="M104" s="8">
        <v>15704</v>
      </c>
      <c r="N104" s="7">
        <f t="shared" si="2"/>
        <v>104.25428176305805</v>
      </c>
      <c r="O104" s="7">
        <f t="shared" si="3"/>
        <v>107.46749885377072</v>
      </c>
    </row>
    <row r="105" spans="1:15" x14ac:dyDescent="0.25">
      <c r="A105" s="57">
        <v>1605</v>
      </c>
      <c r="B105" t="s">
        <v>52</v>
      </c>
      <c r="C105" t="s">
        <v>181</v>
      </c>
      <c r="D105" s="8">
        <v>214138</v>
      </c>
      <c r="E105" s="8">
        <v>205434</v>
      </c>
      <c r="F105" s="8">
        <v>16593</v>
      </c>
      <c r="G105" s="8">
        <v>16242</v>
      </c>
      <c r="H105" s="8">
        <v>15620</v>
      </c>
      <c r="I105" s="8">
        <v>15928</v>
      </c>
      <c r="J105" s="8">
        <v>15578</v>
      </c>
      <c r="K105" s="8">
        <v>15113</v>
      </c>
      <c r="L105" s="8">
        <v>15260</v>
      </c>
      <c r="M105" s="8">
        <v>15523</v>
      </c>
      <c r="N105" s="7">
        <f t="shared" si="2"/>
        <v>104.23688386537768</v>
      </c>
      <c r="O105" s="7">
        <f t="shared" si="3"/>
        <v>104.7320818557439</v>
      </c>
    </row>
    <row r="106" spans="1:15" x14ac:dyDescent="0.25">
      <c r="A106" s="57">
        <v>1606</v>
      </c>
      <c r="B106" t="s">
        <v>52</v>
      </c>
      <c r="C106" t="s">
        <v>182</v>
      </c>
      <c r="D106" s="8">
        <v>341404</v>
      </c>
      <c r="E106" s="8">
        <v>325054</v>
      </c>
      <c r="F106" s="8">
        <v>26455</v>
      </c>
      <c r="G106" s="8">
        <v>25014</v>
      </c>
      <c r="H106" s="8">
        <v>25799</v>
      </c>
      <c r="I106" s="8">
        <v>26549</v>
      </c>
      <c r="J106" s="8">
        <v>24817</v>
      </c>
      <c r="K106" s="8">
        <v>23984</v>
      </c>
      <c r="L106" s="8">
        <v>25169</v>
      </c>
      <c r="M106" s="8">
        <v>26329</v>
      </c>
      <c r="N106" s="7">
        <f t="shared" si="2"/>
        <v>105.02993348797432</v>
      </c>
      <c r="O106" s="7">
        <f t="shared" si="3"/>
        <v>103.50751253751285</v>
      </c>
    </row>
    <row r="107" spans="1:15" x14ac:dyDescent="0.25">
      <c r="A107" s="57">
        <v>1607</v>
      </c>
      <c r="B107" t="s">
        <v>52</v>
      </c>
      <c r="C107" t="s">
        <v>183</v>
      </c>
      <c r="D107" s="8">
        <v>464494</v>
      </c>
      <c r="E107" s="8">
        <v>444298</v>
      </c>
      <c r="F107" s="8">
        <v>37782</v>
      </c>
      <c r="G107" s="8">
        <v>37878</v>
      </c>
      <c r="H107" s="8">
        <v>37440</v>
      </c>
      <c r="I107" s="8">
        <v>35721</v>
      </c>
      <c r="J107" s="8">
        <v>35695</v>
      </c>
      <c r="K107" s="8">
        <v>35530</v>
      </c>
      <c r="L107" s="8">
        <v>34913</v>
      </c>
      <c r="M107" s="8">
        <v>33908</v>
      </c>
      <c r="N107" s="7">
        <f t="shared" si="2"/>
        <v>104.54559777446669</v>
      </c>
      <c r="O107" s="7">
        <f t="shared" si="3"/>
        <v>106.26579838053212</v>
      </c>
    </row>
    <row r="108" spans="1:15" x14ac:dyDescent="0.25">
      <c r="A108" s="57">
        <v>1608</v>
      </c>
      <c r="B108" t="s">
        <v>52</v>
      </c>
      <c r="C108" t="s">
        <v>184</v>
      </c>
      <c r="D108" s="8">
        <v>226867</v>
      </c>
      <c r="E108" s="8">
        <v>213081</v>
      </c>
      <c r="F108" s="8">
        <v>19072</v>
      </c>
      <c r="G108" s="8">
        <v>19448</v>
      </c>
      <c r="H108" s="8">
        <v>18019</v>
      </c>
      <c r="I108" s="8">
        <v>18055</v>
      </c>
      <c r="J108" s="8">
        <v>18004</v>
      </c>
      <c r="K108" s="8">
        <v>18204</v>
      </c>
      <c r="L108" s="8">
        <v>16836</v>
      </c>
      <c r="M108" s="8">
        <v>16411</v>
      </c>
      <c r="N108" s="7">
        <f t="shared" si="2"/>
        <v>106.46984010775245</v>
      </c>
      <c r="O108" s="7">
        <f t="shared" si="3"/>
        <v>107.39903534662731</v>
      </c>
    </row>
    <row r="109" spans="1:15" x14ac:dyDescent="0.25">
      <c r="A109" s="57">
        <v>1609</v>
      </c>
      <c r="B109" t="s">
        <v>52</v>
      </c>
      <c r="C109" t="s">
        <v>185</v>
      </c>
      <c r="D109" s="8">
        <v>350071</v>
      </c>
      <c r="E109" s="8">
        <v>335705</v>
      </c>
      <c r="F109" s="8">
        <v>25062</v>
      </c>
      <c r="G109" s="8">
        <v>25828</v>
      </c>
      <c r="H109" s="8">
        <v>26878</v>
      </c>
      <c r="I109" s="8">
        <v>25866</v>
      </c>
      <c r="J109" s="8">
        <v>23603</v>
      </c>
      <c r="K109" s="8">
        <v>24379</v>
      </c>
      <c r="L109" s="8">
        <v>25459</v>
      </c>
      <c r="M109" s="8">
        <v>24916</v>
      </c>
      <c r="N109" s="7">
        <f t="shared" si="2"/>
        <v>104.27935240761978</v>
      </c>
      <c r="O109" s="7">
        <f t="shared" si="3"/>
        <v>105.36514940471955</v>
      </c>
    </row>
    <row r="110" spans="1:15" x14ac:dyDescent="0.25">
      <c r="A110" s="57">
        <v>1610</v>
      </c>
      <c r="B110" t="s">
        <v>52</v>
      </c>
      <c r="C110" t="s">
        <v>186</v>
      </c>
      <c r="D110" s="8">
        <v>226002</v>
      </c>
      <c r="E110" s="8">
        <v>220139</v>
      </c>
      <c r="F110" s="8">
        <v>18695</v>
      </c>
      <c r="G110" s="8">
        <v>18547</v>
      </c>
      <c r="H110" s="8">
        <v>17953</v>
      </c>
      <c r="I110" s="8">
        <v>17703</v>
      </c>
      <c r="J110" s="8">
        <v>17466</v>
      </c>
      <c r="K110" s="8">
        <v>17638</v>
      </c>
      <c r="L110" s="8">
        <v>16692</v>
      </c>
      <c r="M110" s="8">
        <v>16093</v>
      </c>
      <c r="N110" s="7">
        <f t="shared" si="2"/>
        <v>102.66331726772631</v>
      </c>
      <c r="O110" s="7">
        <f t="shared" si="3"/>
        <v>107.37822033024496</v>
      </c>
    </row>
    <row r="111" spans="1:15" x14ac:dyDescent="0.25">
      <c r="A111" s="57">
        <v>1611</v>
      </c>
      <c r="B111" t="s">
        <v>52</v>
      </c>
      <c r="C111" t="s">
        <v>187</v>
      </c>
      <c r="D111" s="8">
        <v>180512</v>
      </c>
      <c r="E111" s="8">
        <v>171675</v>
      </c>
      <c r="F111" s="8">
        <v>15443</v>
      </c>
      <c r="G111" s="8">
        <v>14734</v>
      </c>
      <c r="H111" s="8">
        <v>14070</v>
      </c>
      <c r="I111" s="8">
        <v>15837</v>
      </c>
      <c r="J111" s="8">
        <v>14392</v>
      </c>
      <c r="K111" s="8">
        <v>14341</v>
      </c>
      <c r="L111" s="8">
        <v>13629</v>
      </c>
      <c r="M111" s="8">
        <v>14393</v>
      </c>
      <c r="N111" s="7">
        <f t="shared" si="2"/>
        <v>105.14751711081986</v>
      </c>
      <c r="O111" s="7">
        <f t="shared" si="3"/>
        <v>105.86556250550612</v>
      </c>
    </row>
    <row r="112" spans="1:15" x14ac:dyDescent="0.25">
      <c r="A112" s="57">
        <v>1612</v>
      </c>
      <c r="B112" t="s">
        <v>52</v>
      </c>
      <c r="C112" t="s">
        <v>188</v>
      </c>
      <c r="D112" s="8">
        <v>106322</v>
      </c>
      <c r="E112" s="8">
        <v>104311</v>
      </c>
      <c r="F112" s="8">
        <v>8690</v>
      </c>
      <c r="G112" s="8">
        <v>8986</v>
      </c>
      <c r="H112" s="8">
        <v>8523</v>
      </c>
      <c r="I112" s="8">
        <v>8215</v>
      </c>
      <c r="J112" s="8">
        <v>8244</v>
      </c>
      <c r="K112" s="8">
        <v>8507</v>
      </c>
      <c r="L112" s="8">
        <v>8522</v>
      </c>
      <c r="M112" s="8">
        <v>7991</v>
      </c>
      <c r="N112" s="7">
        <f t="shared" si="2"/>
        <v>101.92788871739317</v>
      </c>
      <c r="O112" s="7">
        <f t="shared" si="3"/>
        <v>103.45719095719095</v>
      </c>
    </row>
    <row r="113" spans="1:15" x14ac:dyDescent="0.25">
      <c r="A113" s="57">
        <v>1613</v>
      </c>
      <c r="B113" t="s">
        <v>52</v>
      </c>
      <c r="C113" t="s">
        <v>189</v>
      </c>
      <c r="D113" s="8">
        <v>103430</v>
      </c>
      <c r="E113" s="8">
        <v>99689</v>
      </c>
      <c r="F113" s="8">
        <v>8577</v>
      </c>
      <c r="G113" s="8">
        <v>8703</v>
      </c>
      <c r="H113" s="8">
        <v>8519</v>
      </c>
      <c r="I113" s="8">
        <v>8389</v>
      </c>
      <c r="J113" s="8">
        <v>7781</v>
      </c>
      <c r="K113" s="8">
        <v>8177</v>
      </c>
      <c r="L113" s="8">
        <v>8130</v>
      </c>
      <c r="M113" s="8">
        <v>8114</v>
      </c>
      <c r="N113" s="7">
        <f t="shared" si="2"/>
        <v>103.75267080620732</v>
      </c>
      <c r="O113" s="7">
        <f t="shared" si="3"/>
        <v>106.16731880007453</v>
      </c>
    </row>
    <row r="114" spans="1:15" x14ac:dyDescent="0.25">
      <c r="A114" s="57">
        <v>1671</v>
      </c>
      <c r="B114" t="s">
        <v>52</v>
      </c>
      <c r="C114" t="s">
        <v>190</v>
      </c>
      <c r="D114" s="8">
        <v>871219</v>
      </c>
      <c r="E114" s="8">
        <v>869340</v>
      </c>
      <c r="F114" s="8">
        <v>62508</v>
      </c>
      <c r="G114" s="8">
        <v>67341</v>
      </c>
      <c r="H114" s="8">
        <v>69329</v>
      </c>
      <c r="I114" s="8">
        <v>67431</v>
      </c>
      <c r="J114" s="8">
        <v>59472</v>
      </c>
      <c r="K114" s="8">
        <v>64903</v>
      </c>
      <c r="L114" s="8">
        <v>66344</v>
      </c>
      <c r="M114" s="8">
        <v>65460</v>
      </c>
      <c r="N114" s="7">
        <f t="shared" si="2"/>
        <v>100.21614098051394</v>
      </c>
      <c r="O114" s="7">
        <f t="shared" si="3"/>
        <v>104.07137197038008</v>
      </c>
    </row>
    <row r="115" spans="1:15" x14ac:dyDescent="0.25">
      <c r="A115" s="57">
        <v>1672</v>
      </c>
      <c r="B115" t="s">
        <v>52</v>
      </c>
      <c r="C115" t="s">
        <v>191</v>
      </c>
      <c r="D115" s="8">
        <v>104729</v>
      </c>
      <c r="E115" s="8">
        <v>103732</v>
      </c>
      <c r="F115" s="8">
        <v>8534</v>
      </c>
      <c r="G115" s="8">
        <v>8213</v>
      </c>
      <c r="H115" s="8">
        <v>7757</v>
      </c>
      <c r="I115" s="8">
        <v>7606</v>
      </c>
      <c r="J115" s="8">
        <v>7919</v>
      </c>
      <c r="K115" s="8">
        <v>8015</v>
      </c>
      <c r="L115" s="8">
        <v>7833</v>
      </c>
      <c r="M115" s="8">
        <v>7865</v>
      </c>
      <c r="N115" s="7">
        <f t="shared" si="2"/>
        <v>100.96113060579184</v>
      </c>
      <c r="O115" s="7">
        <f t="shared" si="3"/>
        <v>101.51112797167426</v>
      </c>
    </row>
    <row r="116" spans="1:15" x14ac:dyDescent="0.25">
      <c r="A116" s="57">
        <v>1673</v>
      </c>
      <c r="B116" t="s">
        <v>52</v>
      </c>
      <c r="C116" t="s">
        <v>192</v>
      </c>
      <c r="D116" s="8">
        <v>77584</v>
      </c>
      <c r="E116" s="8">
        <v>74236</v>
      </c>
      <c r="F116" s="8">
        <v>5540</v>
      </c>
      <c r="G116" s="8">
        <v>5746</v>
      </c>
      <c r="H116" s="8">
        <v>5432</v>
      </c>
      <c r="I116" s="8">
        <v>5834</v>
      </c>
      <c r="J116" s="8">
        <v>5388</v>
      </c>
      <c r="K116" s="8">
        <v>5311</v>
      </c>
      <c r="L116" s="8">
        <v>4974</v>
      </c>
      <c r="M116" s="8">
        <v>5342</v>
      </c>
      <c r="N116" s="7">
        <f t="shared" si="2"/>
        <v>104.50994126838731</v>
      </c>
      <c r="O116" s="7">
        <f t="shared" si="3"/>
        <v>107.31382345943375</v>
      </c>
    </row>
    <row r="117" spans="1:15" x14ac:dyDescent="0.25">
      <c r="A117" s="57">
        <v>1674</v>
      </c>
      <c r="B117" t="s">
        <v>52</v>
      </c>
      <c r="C117" t="s">
        <v>193</v>
      </c>
      <c r="D117" s="8">
        <v>126782</v>
      </c>
      <c r="E117" s="8">
        <v>125198</v>
      </c>
      <c r="F117" s="8">
        <v>10026</v>
      </c>
      <c r="G117" s="8">
        <v>10043</v>
      </c>
      <c r="H117" s="8">
        <v>10181</v>
      </c>
      <c r="I117" s="8">
        <v>9930</v>
      </c>
      <c r="J117" s="8">
        <v>9604</v>
      </c>
      <c r="K117" s="8">
        <v>10179</v>
      </c>
      <c r="L117" s="8">
        <v>9739</v>
      </c>
      <c r="M117" s="8">
        <v>9592</v>
      </c>
      <c r="N117" s="7">
        <f t="shared" si="2"/>
        <v>101.26519592964745</v>
      </c>
      <c r="O117" s="7">
        <f t="shared" si="3"/>
        <v>102.72536687631026</v>
      </c>
    </row>
    <row r="118" spans="1:15" x14ac:dyDescent="0.25">
      <c r="A118" s="57">
        <v>1701</v>
      </c>
      <c r="B118" t="s">
        <v>53</v>
      </c>
      <c r="C118" t="s">
        <v>194</v>
      </c>
      <c r="D118" s="8">
        <v>89902</v>
      </c>
      <c r="E118" s="8">
        <v>87005</v>
      </c>
      <c r="F118" s="8">
        <v>7376</v>
      </c>
      <c r="G118" s="8">
        <v>6917</v>
      </c>
      <c r="H118" s="8">
        <v>6605</v>
      </c>
      <c r="I118" s="8">
        <v>6512</v>
      </c>
      <c r="J118" s="8">
        <v>7082</v>
      </c>
      <c r="K118" s="8">
        <v>6686</v>
      </c>
      <c r="L118" s="8">
        <v>6154</v>
      </c>
      <c r="M118" s="8">
        <v>6038</v>
      </c>
      <c r="N118" s="7">
        <f t="shared" si="2"/>
        <v>103.32969369576462</v>
      </c>
      <c r="O118" s="7">
        <f t="shared" si="3"/>
        <v>105.58551617873653</v>
      </c>
    </row>
    <row r="119" spans="1:15" x14ac:dyDescent="0.25">
      <c r="A119" s="57">
        <v>1702</v>
      </c>
      <c r="B119" t="s">
        <v>53</v>
      </c>
      <c r="C119" t="s">
        <v>195</v>
      </c>
      <c r="D119" s="8">
        <v>149993</v>
      </c>
      <c r="E119" s="8">
        <v>144886</v>
      </c>
      <c r="F119" s="8">
        <v>12356</v>
      </c>
      <c r="G119" s="8">
        <v>12380</v>
      </c>
      <c r="H119" s="8">
        <v>12192</v>
      </c>
      <c r="I119" s="8">
        <v>11647</v>
      </c>
      <c r="J119" s="8">
        <v>11879</v>
      </c>
      <c r="K119" s="8">
        <v>11871</v>
      </c>
      <c r="L119" s="8">
        <v>10980</v>
      </c>
      <c r="M119" s="8">
        <v>10635</v>
      </c>
      <c r="N119" s="7">
        <f t="shared" si="2"/>
        <v>103.52484021920682</v>
      </c>
      <c r="O119" s="7">
        <f t="shared" si="3"/>
        <v>107.075939601014</v>
      </c>
    </row>
    <row r="120" spans="1:15" x14ac:dyDescent="0.25">
      <c r="A120" s="57">
        <v>1703</v>
      </c>
      <c r="B120" t="s">
        <v>53</v>
      </c>
      <c r="C120" t="s">
        <v>196</v>
      </c>
      <c r="D120" s="8">
        <v>161524</v>
      </c>
      <c r="E120" s="8">
        <v>155300</v>
      </c>
      <c r="F120" s="8">
        <v>12497</v>
      </c>
      <c r="G120" s="8">
        <v>12108</v>
      </c>
      <c r="H120" s="8">
        <v>12057</v>
      </c>
      <c r="I120" s="8">
        <v>12025</v>
      </c>
      <c r="J120" s="8">
        <v>11821</v>
      </c>
      <c r="K120" s="8">
        <v>11559</v>
      </c>
      <c r="L120" s="8">
        <v>11497</v>
      </c>
      <c r="M120" s="8">
        <v>11682</v>
      </c>
      <c r="N120" s="7">
        <f t="shared" si="2"/>
        <v>104.00772698003864</v>
      </c>
      <c r="O120" s="7">
        <f t="shared" si="3"/>
        <v>104.57054490001934</v>
      </c>
    </row>
    <row r="121" spans="1:15" x14ac:dyDescent="0.25">
      <c r="A121" s="57">
        <v>1704</v>
      </c>
      <c r="B121" t="s">
        <v>53</v>
      </c>
      <c r="C121" t="s">
        <v>197</v>
      </c>
      <c r="D121" s="8">
        <v>69615</v>
      </c>
      <c r="E121" s="8">
        <v>66164</v>
      </c>
      <c r="F121" s="8">
        <v>6000</v>
      </c>
      <c r="G121" s="8">
        <v>5440</v>
      </c>
      <c r="H121" s="8">
        <v>5144</v>
      </c>
      <c r="I121" s="8">
        <v>5095</v>
      </c>
      <c r="J121" s="8">
        <v>5620</v>
      </c>
      <c r="K121" s="8">
        <v>5021</v>
      </c>
      <c r="L121" s="8">
        <v>4623</v>
      </c>
      <c r="M121" s="8">
        <v>4892</v>
      </c>
      <c r="N121" s="7">
        <f t="shared" si="2"/>
        <v>105.21582733812949</v>
      </c>
      <c r="O121" s="7">
        <f t="shared" si="3"/>
        <v>107.55606271085534</v>
      </c>
    </row>
    <row r="122" spans="1:15" x14ac:dyDescent="0.25">
      <c r="A122" s="57">
        <v>1705</v>
      </c>
      <c r="B122" t="s">
        <v>53</v>
      </c>
      <c r="C122" t="s">
        <v>198</v>
      </c>
      <c r="D122" s="8">
        <v>114278</v>
      </c>
      <c r="E122" s="8">
        <v>107890</v>
      </c>
      <c r="F122" s="8">
        <v>9507</v>
      </c>
      <c r="G122" s="8">
        <v>9065</v>
      </c>
      <c r="H122" s="8">
        <v>8702</v>
      </c>
      <c r="I122" s="8">
        <v>8573</v>
      </c>
      <c r="J122" s="8">
        <v>8484</v>
      </c>
      <c r="K122" s="8">
        <v>7799</v>
      </c>
      <c r="L122" s="8">
        <v>8151</v>
      </c>
      <c r="M122" s="8">
        <v>8067</v>
      </c>
      <c r="N122" s="7">
        <f t="shared" si="2"/>
        <v>105.92084530540365</v>
      </c>
      <c r="O122" s="7">
        <f t="shared" si="3"/>
        <v>110.29506784406632</v>
      </c>
    </row>
    <row r="123" spans="1:15" x14ac:dyDescent="0.25">
      <c r="A123" s="57">
        <v>1706</v>
      </c>
      <c r="B123" t="s">
        <v>53</v>
      </c>
      <c r="C123" t="s">
        <v>199</v>
      </c>
      <c r="D123" s="8">
        <v>106789</v>
      </c>
      <c r="E123" s="8">
        <v>100591</v>
      </c>
      <c r="F123" s="8">
        <v>8513</v>
      </c>
      <c r="G123" s="8">
        <v>8468</v>
      </c>
      <c r="H123" s="8">
        <v>8269</v>
      </c>
      <c r="I123" s="8">
        <v>8409</v>
      </c>
      <c r="J123" s="8">
        <v>7942</v>
      </c>
      <c r="K123" s="8">
        <v>7937</v>
      </c>
      <c r="L123" s="8">
        <v>8009</v>
      </c>
      <c r="M123" s="8">
        <v>8081</v>
      </c>
      <c r="N123" s="7">
        <f t="shared" si="2"/>
        <v>106.16158503245816</v>
      </c>
      <c r="O123" s="7">
        <f t="shared" si="3"/>
        <v>105.28637117207296</v>
      </c>
    </row>
    <row r="124" spans="1:15" x14ac:dyDescent="0.25">
      <c r="A124" s="57">
        <v>1707</v>
      </c>
      <c r="B124" t="s">
        <v>53</v>
      </c>
      <c r="C124" t="s">
        <v>200</v>
      </c>
      <c r="D124" s="8">
        <v>58452</v>
      </c>
      <c r="E124" s="8">
        <v>56047</v>
      </c>
      <c r="F124" s="8">
        <v>4696</v>
      </c>
      <c r="G124" s="8">
        <v>4741</v>
      </c>
      <c r="H124" s="8">
        <v>4590</v>
      </c>
      <c r="I124" s="8">
        <v>4522</v>
      </c>
      <c r="J124" s="8">
        <v>4520</v>
      </c>
      <c r="K124" s="8">
        <v>4484</v>
      </c>
      <c r="L124" s="8">
        <v>4217</v>
      </c>
      <c r="M124" s="8">
        <v>4106</v>
      </c>
      <c r="N124" s="7">
        <f t="shared" si="2"/>
        <v>104.29104144735668</v>
      </c>
      <c r="O124" s="7">
        <f t="shared" si="3"/>
        <v>107.05257690309922</v>
      </c>
    </row>
    <row r="125" spans="1:15" x14ac:dyDescent="0.25">
      <c r="A125" s="57">
        <v>1708</v>
      </c>
      <c r="B125" t="s">
        <v>53</v>
      </c>
      <c r="C125" t="s">
        <v>201</v>
      </c>
      <c r="D125" s="8">
        <v>81897</v>
      </c>
      <c r="E125" s="8">
        <v>77742</v>
      </c>
      <c r="F125" s="8">
        <v>6247</v>
      </c>
      <c r="G125" s="8">
        <v>6545</v>
      </c>
      <c r="H125" s="8">
        <v>6466</v>
      </c>
      <c r="I125" s="8">
        <v>6676</v>
      </c>
      <c r="J125" s="8">
        <v>5903</v>
      </c>
      <c r="K125" s="8">
        <v>6333</v>
      </c>
      <c r="L125" s="8">
        <v>5940</v>
      </c>
      <c r="M125" s="8">
        <v>6217</v>
      </c>
      <c r="N125" s="7">
        <f t="shared" si="2"/>
        <v>105.34460137377479</v>
      </c>
      <c r="O125" s="7">
        <f t="shared" si="3"/>
        <v>106.3173861353667</v>
      </c>
    </row>
    <row r="126" spans="1:15" x14ac:dyDescent="0.25">
      <c r="A126" s="57">
        <v>1709</v>
      </c>
      <c r="B126" t="s">
        <v>53</v>
      </c>
      <c r="C126" t="s">
        <v>202</v>
      </c>
      <c r="D126" s="8">
        <v>64259</v>
      </c>
      <c r="E126" s="8">
        <v>61416</v>
      </c>
      <c r="F126" s="8">
        <v>5294</v>
      </c>
      <c r="G126" s="8">
        <v>5330</v>
      </c>
      <c r="H126" s="8">
        <v>5197</v>
      </c>
      <c r="I126" s="8">
        <v>5174</v>
      </c>
      <c r="J126" s="8">
        <v>4950</v>
      </c>
      <c r="K126" s="8">
        <v>4921</v>
      </c>
      <c r="L126" s="8">
        <v>4859</v>
      </c>
      <c r="M126" s="8">
        <v>4807</v>
      </c>
      <c r="N126" s="7">
        <f t="shared" si="2"/>
        <v>104.62908688289696</v>
      </c>
      <c r="O126" s="7">
        <f t="shared" si="3"/>
        <v>107.46276296258381</v>
      </c>
    </row>
    <row r="127" spans="1:15" x14ac:dyDescent="0.25">
      <c r="A127" s="57">
        <v>1771</v>
      </c>
      <c r="B127" t="s">
        <v>53</v>
      </c>
      <c r="C127" t="s">
        <v>203</v>
      </c>
      <c r="D127" s="8">
        <v>206738</v>
      </c>
      <c r="E127" s="8">
        <v>202853</v>
      </c>
      <c r="F127" s="8">
        <v>15524</v>
      </c>
      <c r="G127" s="8">
        <v>17763</v>
      </c>
      <c r="H127" s="8">
        <v>18379</v>
      </c>
      <c r="I127" s="8">
        <v>16716</v>
      </c>
      <c r="J127" s="8">
        <v>14404</v>
      </c>
      <c r="K127" s="8">
        <v>17860</v>
      </c>
      <c r="L127" s="8">
        <v>19008</v>
      </c>
      <c r="M127" s="8">
        <v>17328</v>
      </c>
      <c r="N127" s="7">
        <f t="shared" si="2"/>
        <v>101.91517995790056</v>
      </c>
      <c r="O127" s="7">
        <f t="shared" si="3"/>
        <v>99.682215743440224</v>
      </c>
    </row>
    <row r="128" spans="1:15" x14ac:dyDescent="0.25">
      <c r="A128" s="57">
        <v>1801</v>
      </c>
      <c r="B128" t="s">
        <v>54</v>
      </c>
      <c r="C128" t="s">
        <v>204</v>
      </c>
      <c r="D128" s="8">
        <v>166245</v>
      </c>
      <c r="E128" s="8">
        <v>156344</v>
      </c>
      <c r="F128" s="8">
        <v>12852</v>
      </c>
      <c r="G128" s="8">
        <v>12507</v>
      </c>
      <c r="H128" s="8">
        <v>12129</v>
      </c>
      <c r="I128" s="8">
        <v>12977</v>
      </c>
      <c r="J128" s="8">
        <v>12197</v>
      </c>
      <c r="K128" s="8">
        <v>11793</v>
      </c>
      <c r="L128" s="8">
        <v>11615</v>
      </c>
      <c r="M128" s="8">
        <v>12252</v>
      </c>
      <c r="N128" s="7">
        <f t="shared" si="2"/>
        <v>106.3328301693701</v>
      </c>
      <c r="O128" s="7">
        <f t="shared" si="3"/>
        <v>105.44956850617464</v>
      </c>
    </row>
    <row r="129" spans="1:15" x14ac:dyDescent="0.25">
      <c r="A129" s="57">
        <v>1802</v>
      </c>
      <c r="B129" t="s">
        <v>54</v>
      </c>
      <c r="C129" t="s">
        <v>205</v>
      </c>
      <c r="D129" s="8">
        <v>353133</v>
      </c>
      <c r="E129" s="8">
        <v>332406</v>
      </c>
      <c r="F129" s="8">
        <v>27029</v>
      </c>
      <c r="G129" s="8">
        <v>28356</v>
      </c>
      <c r="H129" s="8">
        <v>27520</v>
      </c>
      <c r="I129" s="8">
        <v>28519</v>
      </c>
      <c r="J129" s="8">
        <v>25305</v>
      </c>
      <c r="K129" s="8">
        <v>26562</v>
      </c>
      <c r="L129" s="8">
        <v>25001</v>
      </c>
      <c r="M129" s="8">
        <v>25337</v>
      </c>
      <c r="N129" s="7">
        <f t="shared" si="2"/>
        <v>106.23544701359182</v>
      </c>
      <c r="O129" s="7">
        <f t="shared" si="3"/>
        <v>109.02010664840272</v>
      </c>
    </row>
    <row r="130" spans="1:15" x14ac:dyDescent="0.25">
      <c r="A130" s="57">
        <v>1803</v>
      </c>
      <c r="B130" t="s">
        <v>54</v>
      </c>
      <c r="C130" t="s">
        <v>206</v>
      </c>
      <c r="D130" s="8">
        <v>583919</v>
      </c>
      <c r="E130" s="8">
        <v>563279</v>
      </c>
      <c r="F130" s="8">
        <v>45102</v>
      </c>
      <c r="G130" s="8">
        <v>46002</v>
      </c>
      <c r="H130" s="8">
        <v>44965</v>
      </c>
      <c r="I130" s="8">
        <v>42519</v>
      </c>
      <c r="J130" s="8">
        <v>42684</v>
      </c>
      <c r="K130" s="8">
        <v>44015</v>
      </c>
      <c r="L130" s="8">
        <v>42332</v>
      </c>
      <c r="M130" s="8">
        <v>41352</v>
      </c>
      <c r="N130" s="7">
        <f t="shared" si="2"/>
        <v>103.66425874211535</v>
      </c>
      <c r="O130" s="7">
        <f t="shared" si="3"/>
        <v>104.81562127677057</v>
      </c>
    </row>
    <row r="131" spans="1:15" x14ac:dyDescent="0.25">
      <c r="A131" s="57">
        <v>1804</v>
      </c>
      <c r="B131" t="s">
        <v>54</v>
      </c>
      <c r="C131" t="s">
        <v>207</v>
      </c>
      <c r="D131" s="8">
        <v>595222</v>
      </c>
      <c r="E131" s="8">
        <v>580143</v>
      </c>
      <c r="F131" s="8">
        <v>45403</v>
      </c>
      <c r="G131" s="8">
        <v>46056</v>
      </c>
      <c r="H131" s="8">
        <v>43857</v>
      </c>
      <c r="I131" s="8">
        <v>41369</v>
      </c>
      <c r="J131" s="8">
        <v>42404</v>
      </c>
      <c r="K131" s="8">
        <v>43092</v>
      </c>
      <c r="L131" s="8">
        <v>42758</v>
      </c>
      <c r="M131" s="8">
        <v>42069</v>
      </c>
      <c r="N131" s="7">
        <f t="shared" si="2"/>
        <v>102.59918675223179</v>
      </c>
      <c r="O131" s="7">
        <f t="shared" si="3"/>
        <v>103.73525595486224</v>
      </c>
    </row>
    <row r="132" spans="1:15" x14ac:dyDescent="0.25">
      <c r="A132" s="57">
        <v>1805</v>
      </c>
      <c r="B132" t="s">
        <v>54</v>
      </c>
      <c r="C132" t="s">
        <v>208</v>
      </c>
      <c r="D132" s="8">
        <v>791869</v>
      </c>
      <c r="E132" s="8">
        <v>765421</v>
      </c>
      <c r="F132" s="8">
        <v>58041</v>
      </c>
      <c r="G132" s="8">
        <v>61929</v>
      </c>
      <c r="H132" s="8">
        <v>62187</v>
      </c>
      <c r="I132" s="8">
        <v>59833</v>
      </c>
      <c r="J132" s="8">
        <v>55419</v>
      </c>
      <c r="K132" s="8">
        <v>60180</v>
      </c>
      <c r="L132" s="8">
        <v>61095</v>
      </c>
      <c r="M132" s="8">
        <v>58856</v>
      </c>
      <c r="N132" s="7">
        <f t="shared" ref="N132:N195" si="4">D132/E132*100</f>
        <v>103.45535332842972</v>
      </c>
      <c r="O132" s="7">
        <f t="shared" ref="O132:O195" si="5">SUM(F132:I132)/SUM(J132:M132)*100</f>
        <v>102.73402674591381</v>
      </c>
    </row>
    <row r="133" spans="1:15" x14ac:dyDescent="0.25">
      <c r="A133" s="57">
        <v>1806</v>
      </c>
      <c r="B133" t="s">
        <v>54</v>
      </c>
      <c r="C133" t="s">
        <v>209</v>
      </c>
      <c r="D133" s="8">
        <v>340666</v>
      </c>
      <c r="E133" s="8">
        <v>330826</v>
      </c>
      <c r="F133" s="8">
        <v>26866</v>
      </c>
      <c r="G133" s="8">
        <v>26562</v>
      </c>
      <c r="H133" s="8">
        <v>25541</v>
      </c>
      <c r="I133" s="8">
        <v>25762</v>
      </c>
      <c r="J133" s="8">
        <v>25317</v>
      </c>
      <c r="K133" s="8">
        <v>24788</v>
      </c>
      <c r="L133" s="8">
        <v>23980</v>
      </c>
      <c r="M133" s="8">
        <v>24483</v>
      </c>
      <c r="N133" s="7">
        <f t="shared" si="4"/>
        <v>102.97437323547727</v>
      </c>
      <c r="O133" s="7">
        <f t="shared" si="5"/>
        <v>106.2525363201039</v>
      </c>
    </row>
    <row r="134" spans="1:15" x14ac:dyDescent="0.25">
      <c r="A134" s="57">
        <v>1807</v>
      </c>
      <c r="B134" t="s">
        <v>54</v>
      </c>
      <c r="C134" t="s">
        <v>210</v>
      </c>
      <c r="D134" s="8">
        <v>259591</v>
      </c>
      <c r="E134" s="8">
        <v>249654</v>
      </c>
      <c r="F134" s="8">
        <v>19869</v>
      </c>
      <c r="G134" s="8">
        <v>19435</v>
      </c>
      <c r="H134" s="8">
        <v>20026</v>
      </c>
      <c r="I134" s="8">
        <v>20775</v>
      </c>
      <c r="J134" s="8">
        <v>19086</v>
      </c>
      <c r="K134" s="8">
        <v>19048</v>
      </c>
      <c r="L134" s="8">
        <v>18992</v>
      </c>
      <c r="M134" s="8">
        <v>19683</v>
      </c>
      <c r="N134" s="7">
        <f t="shared" si="4"/>
        <v>103.98030874730628</v>
      </c>
      <c r="O134" s="7">
        <f t="shared" si="5"/>
        <v>104.29116379590933</v>
      </c>
    </row>
    <row r="135" spans="1:15" x14ac:dyDescent="0.25">
      <c r="A135" s="57">
        <v>1808</v>
      </c>
      <c r="B135" t="s">
        <v>54</v>
      </c>
      <c r="C135" t="s">
        <v>211</v>
      </c>
      <c r="D135" s="8">
        <v>236455</v>
      </c>
      <c r="E135" s="8">
        <v>223886</v>
      </c>
      <c r="F135" s="8">
        <v>18377</v>
      </c>
      <c r="G135" s="8">
        <v>17967</v>
      </c>
      <c r="H135" s="8">
        <v>18630</v>
      </c>
      <c r="I135" s="8">
        <v>18065</v>
      </c>
      <c r="J135" s="8">
        <v>16859</v>
      </c>
      <c r="K135" s="8">
        <v>17185</v>
      </c>
      <c r="L135" s="8">
        <v>17963</v>
      </c>
      <c r="M135" s="8">
        <v>17727</v>
      </c>
      <c r="N135" s="7">
        <f t="shared" si="4"/>
        <v>105.61401784836926</v>
      </c>
      <c r="O135" s="7">
        <f t="shared" si="5"/>
        <v>104.73943843749103</v>
      </c>
    </row>
    <row r="136" spans="1:15" x14ac:dyDescent="0.25">
      <c r="A136" s="57">
        <v>1809</v>
      </c>
      <c r="B136" t="s">
        <v>54</v>
      </c>
      <c r="C136" t="s">
        <v>212</v>
      </c>
      <c r="D136" s="8">
        <v>262308</v>
      </c>
      <c r="E136" s="8">
        <v>249856</v>
      </c>
      <c r="F136" s="8">
        <v>21296</v>
      </c>
      <c r="G136" s="8">
        <v>21549</v>
      </c>
      <c r="H136" s="8">
        <v>19705</v>
      </c>
      <c r="I136" s="8">
        <v>18787</v>
      </c>
      <c r="J136" s="8">
        <v>19737</v>
      </c>
      <c r="K136" s="8">
        <v>19238</v>
      </c>
      <c r="L136" s="8">
        <v>17841</v>
      </c>
      <c r="M136" s="8">
        <v>18106</v>
      </c>
      <c r="N136" s="7">
        <f t="shared" si="4"/>
        <v>104.98367059426231</v>
      </c>
      <c r="O136" s="7">
        <f t="shared" si="5"/>
        <v>108.5622380609167</v>
      </c>
    </row>
    <row r="137" spans="1:15" x14ac:dyDescent="0.25">
      <c r="A137" s="57">
        <v>1810</v>
      </c>
      <c r="B137" t="s">
        <v>54</v>
      </c>
      <c r="C137" t="s">
        <v>213</v>
      </c>
      <c r="D137" s="8">
        <v>222075</v>
      </c>
      <c r="E137" s="8">
        <v>212664</v>
      </c>
      <c r="F137" s="8">
        <v>17337</v>
      </c>
      <c r="G137" s="8">
        <v>17885</v>
      </c>
      <c r="H137" s="8">
        <v>16462</v>
      </c>
      <c r="I137" s="8">
        <v>15674</v>
      </c>
      <c r="J137" s="8">
        <v>16655</v>
      </c>
      <c r="K137" s="8">
        <v>17085</v>
      </c>
      <c r="L137" s="8">
        <v>15633</v>
      </c>
      <c r="M137" s="8">
        <v>14872</v>
      </c>
      <c r="N137" s="7">
        <f t="shared" si="4"/>
        <v>104.42529059925516</v>
      </c>
      <c r="O137" s="7">
        <f t="shared" si="5"/>
        <v>104.84551326951515</v>
      </c>
    </row>
    <row r="138" spans="1:15" x14ac:dyDescent="0.25">
      <c r="A138" s="57">
        <v>1811</v>
      </c>
      <c r="B138" t="s">
        <v>54</v>
      </c>
      <c r="C138" t="s">
        <v>214</v>
      </c>
      <c r="D138" s="8">
        <v>127434</v>
      </c>
      <c r="E138" s="8">
        <v>121316</v>
      </c>
      <c r="F138" s="8">
        <v>9293</v>
      </c>
      <c r="G138" s="8">
        <v>9850</v>
      </c>
      <c r="H138" s="8">
        <v>11382</v>
      </c>
      <c r="I138" s="8">
        <v>10883</v>
      </c>
      <c r="J138" s="8">
        <v>8884</v>
      </c>
      <c r="K138" s="8">
        <v>9841</v>
      </c>
      <c r="L138" s="8">
        <v>11375</v>
      </c>
      <c r="M138" s="8">
        <v>10571</v>
      </c>
      <c r="N138" s="7">
        <f t="shared" si="4"/>
        <v>105.04302812489696</v>
      </c>
      <c r="O138" s="7">
        <f t="shared" si="5"/>
        <v>101.81210198913232</v>
      </c>
    </row>
    <row r="139" spans="1:15" x14ac:dyDescent="0.25">
      <c r="A139" s="57">
        <v>1812</v>
      </c>
      <c r="B139" t="s">
        <v>54</v>
      </c>
      <c r="C139" t="s">
        <v>215</v>
      </c>
      <c r="D139" s="8">
        <v>154772</v>
      </c>
      <c r="E139" s="8">
        <v>149987</v>
      </c>
      <c r="F139" s="8">
        <v>9417</v>
      </c>
      <c r="G139" s="8">
        <v>10979</v>
      </c>
      <c r="H139" s="8">
        <v>12611</v>
      </c>
      <c r="I139" s="8">
        <v>12541</v>
      </c>
      <c r="J139" s="8">
        <v>9044</v>
      </c>
      <c r="K139" s="8">
        <v>11037</v>
      </c>
      <c r="L139" s="8">
        <v>12545</v>
      </c>
      <c r="M139" s="8">
        <v>12235</v>
      </c>
      <c r="N139" s="7">
        <f t="shared" si="4"/>
        <v>103.1902764906292</v>
      </c>
      <c r="O139" s="7">
        <f t="shared" si="5"/>
        <v>101.53139698178819</v>
      </c>
    </row>
    <row r="140" spans="1:15" x14ac:dyDescent="0.25">
      <c r="A140" s="57">
        <v>1813</v>
      </c>
      <c r="B140" t="s">
        <v>54</v>
      </c>
      <c r="C140" t="s">
        <v>216</v>
      </c>
      <c r="D140" s="8">
        <v>91670</v>
      </c>
      <c r="E140" s="8">
        <v>85715</v>
      </c>
      <c r="F140" s="8">
        <v>7267</v>
      </c>
      <c r="G140" s="8">
        <v>7289</v>
      </c>
      <c r="H140" s="8">
        <v>6994</v>
      </c>
      <c r="I140" s="8">
        <v>6812</v>
      </c>
      <c r="J140" s="8">
        <v>6855</v>
      </c>
      <c r="K140" s="8">
        <v>6791</v>
      </c>
      <c r="L140" s="8">
        <v>6259</v>
      </c>
      <c r="M140" s="8">
        <v>6312</v>
      </c>
      <c r="N140" s="7">
        <f t="shared" si="4"/>
        <v>106.94744210464913</v>
      </c>
      <c r="O140" s="7">
        <f t="shared" si="5"/>
        <v>108.18171415493762</v>
      </c>
    </row>
    <row r="141" spans="1:15" x14ac:dyDescent="0.25">
      <c r="A141" s="57">
        <v>1871</v>
      </c>
      <c r="B141" t="s">
        <v>54</v>
      </c>
      <c r="C141" t="s">
        <v>217</v>
      </c>
      <c r="D141" s="8">
        <v>628742</v>
      </c>
      <c r="E141" s="8">
        <v>608885</v>
      </c>
      <c r="F141" s="8">
        <v>47700</v>
      </c>
      <c r="G141" s="8">
        <v>46808</v>
      </c>
      <c r="H141" s="8">
        <v>49170</v>
      </c>
      <c r="I141" s="8">
        <v>52696</v>
      </c>
      <c r="J141" s="8">
        <v>44775</v>
      </c>
      <c r="K141" s="8">
        <v>45872</v>
      </c>
      <c r="L141" s="8">
        <v>48508</v>
      </c>
      <c r="M141" s="8">
        <v>50177</v>
      </c>
      <c r="N141" s="7">
        <f t="shared" si="4"/>
        <v>103.26120696026344</v>
      </c>
      <c r="O141" s="7">
        <f t="shared" si="5"/>
        <v>103.71939239008725</v>
      </c>
    </row>
    <row r="142" spans="1:15" x14ac:dyDescent="0.25">
      <c r="A142" s="57">
        <v>1872</v>
      </c>
      <c r="B142" t="s">
        <v>54</v>
      </c>
      <c r="C142" t="s">
        <v>218</v>
      </c>
      <c r="D142" s="8">
        <v>89921</v>
      </c>
      <c r="E142" s="8">
        <v>89388</v>
      </c>
      <c r="F142" s="8">
        <v>6878</v>
      </c>
      <c r="G142" s="8">
        <v>6922</v>
      </c>
      <c r="H142" s="8">
        <v>6747</v>
      </c>
      <c r="I142" s="8">
        <v>6475</v>
      </c>
      <c r="J142" s="8">
        <v>6656</v>
      </c>
      <c r="K142" s="8">
        <v>7040</v>
      </c>
      <c r="L142" s="8">
        <v>6969</v>
      </c>
      <c r="M142" s="8">
        <v>6454</v>
      </c>
      <c r="N142" s="7">
        <f t="shared" si="4"/>
        <v>100.59627690517743</v>
      </c>
      <c r="O142" s="7">
        <f t="shared" si="5"/>
        <v>99.642317194586809</v>
      </c>
    </row>
    <row r="143" spans="1:15" x14ac:dyDescent="0.25">
      <c r="A143" s="57">
        <v>1901</v>
      </c>
      <c r="B143" t="s">
        <v>55</v>
      </c>
      <c r="C143" t="s">
        <v>219</v>
      </c>
      <c r="D143" s="8">
        <v>179508</v>
      </c>
      <c r="E143" s="8">
        <v>170498</v>
      </c>
      <c r="F143" s="8">
        <v>14711</v>
      </c>
      <c r="G143" s="8">
        <v>14380</v>
      </c>
      <c r="H143" s="8">
        <v>13623</v>
      </c>
      <c r="I143" s="8">
        <v>14153</v>
      </c>
      <c r="J143" s="8">
        <v>13717</v>
      </c>
      <c r="K143" s="8">
        <v>13659</v>
      </c>
      <c r="L143" s="8">
        <v>13043</v>
      </c>
      <c r="M143" s="8">
        <v>13223</v>
      </c>
      <c r="N143" s="7">
        <f t="shared" si="4"/>
        <v>105.28451946650401</v>
      </c>
      <c r="O143" s="7">
        <f t="shared" si="5"/>
        <v>106.01208008649938</v>
      </c>
    </row>
    <row r="144" spans="1:15" x14ac:dyDescent="0.25">
      <c r="A144" s="57">
        <v>1902</v>
      </c>
      <c r="B144" t="s">
        <v>55</v>
      </c>
      <c r="C144" t="s">
        <v>220</v>
      </c>
      <c r="D144" s="8">
        <v>99336</v>
      </c>
      <c r="E144" s="8">
        <v>96339</v>
      </c>
      <c r="F144" s="8">
        <v>7622</v>
      </c>
      <c r="G144" s="8">
        <v>8095</v>
      </c>
      <c r="H144" s="8">
        <v>8598</v>
      </c>
      <c r="I144" s="8">
        <v>7456</v>
      </c>
      <c r="J144" s="8">
        <v>7416</v>
      </c>
      <c r="K144" s="8">
        <v>8080</v>
      </c>
      <c r="L144" s="8">
        <v>8033</v>
      </c>
      <c r="M144" s="8">
        <v>6742</v>
      </c>
      <c r="N144" s="7">
        <f t="shared" si="4"/>
        <v>103.1108896708498</v>
      </c>
      <c r="O144" s="7">
        <f t="shared" si="5"/>
        <v>104.95523768623436</v>
      </c>
    </row>
    <row r="145" spans="1:15" x14ac:dyDescent="0.25">
      <c r="A145" s="57">
        <v>1903</v>
      </c>
      <c r="B145" t="s">
        <v>55</v>
      </c>
      <c r="C145" t="s">
        <v>221</v>
      </c>
      <c r="D145" s="8">
        <v>114108</v>
      </c>
      <c r="E145" s="8">
        <v>107520</v>
      </c>
      <c r="F145" s="8">
        <v>9647</v>
      </c>
      <c r="G145" s="8">
        <v>9211</v>
      </c>
      <c r="H145" s="8">
        <v>8533</v>
      </c>
      <c r="I145" s="8">
        <v>9151</v>
      </c>
      <c r="J145" s="8">
        <v>9133</v>
      </c>
      <c r="K145" s="8">
        <v>8625</v>
      </c>
      <c r="L145" s="8">
        <v>7870</v>
      </c>
      <c r="M145" s="8">
        <v>8666</v>
      </c>
      <c r="N145" s="7">
        <f t="shared" si="4"/>
        <v>106.12723214285715</v>
      </c>
      <c r="O145" s="7">
        <f t="shared" si="5"/>
        <v>106.55508252172392</v>
      </c>
    </row>
    <row r="146" spans="1:15" x14ac:dyDescent="0.25">
      <c r="A146" s="57">
        <v>1904</v>
      </c>
      <c r="B146" t="s">
        <v>55</v>
      </c>
      <c r="C146" t="s">
        <v>222</v>
      </c>
      <c r="D146" s="8">
        <v>111655</v>
      </c>
      <c r="E146" s="8">
        <v>104799</v>
      </c>
      <c r="F146" s="8">
        <v>9423</v>
      </c>
      <c r="G146" s="8">
        <v>8997</v>
      </c>
      <c r="H146" s="8">
        <v>8629</v>
      </c>
      <c r="I146" s="8">
        <v>9316</v>
      </c>
      <c r="J146" s="8">
        <v>8948</v>
      </c>
      <c r="K146" s="8">
        <v>8468</v>
      </c>
      <c r="L146" s="8">
        <v>8274</v>
      </c>
      <c r="M146" s="8">
        <v>8902</v>
      </c>
      <c r="N146" s="7">
        <f t="shared" si="4"/>
        <v>106.54204715693851</v>
      </c>
      <c r="O146" s="7">
        <f t="shared" si="5"/>
        <v>105.1254625346901</v>
      </c>
    </row>
    <row r="147" spans="1:15" x14ac:dyDescent="0.25">
      <c r="A147" s="57">
        <v>1905</v>
      </c>
      <c r="B147" t="s">
        <v>55</v>
      </c>
      <c r="C147" t="s">
        <v>223</v>
      </c>
      <c r="D147" s="8">
        <v>109900</v>
      </c>
      <c r="E147" s="8">
        <v>103783</v>
      </c>
      <c r="F147" s="8">
        <v>9270</v>
      </c>
      <c r="G147" s="8">
        <v>9219</v>
      </c>
      <c r="H147" s="8">
        <v>9101</v>
      </c>
      <c r="I147" s="8">
        <v>9240</v>
      </c>
      <c r="J147" s="8">
        <v>8603</v>
      </c>
      <c r="K147" s="8">
        <v>8694</v>
      </c>
      <c r="L147" s="8">
        <v>8682</v>
      </c>
      <c r="M147" s="8">
        <v>8894</v>
      </c>
      <c r="N147" s="7">
        <f t="shared" si="4"/>
        <v>105.89402888719732</v>
      </c>
      <c r="O147" s="7">
        <f t="shared" si="5"/>
        <v>105.61179135721044</v>
      </c>
    </row>
    <row r="148" spans="1:15" x14ac:dyDescent="0.25">
      <c r="A148" s="57">
        <v>1906</v>
      </c>
      <c r="B148" t="s">
        <v>55</v>
      </c>
      <c r="C148" t="s">
        <v>224</v>
      </c>
      <c r="D148" s="8">
        <v>70019</v>
      </c>
      <c r="E148" s="8">
        <v>65858</v>
      </c>
      <c r="F148" s="8">
        <v>5518</v>
      </c>
      <c r="G148" s="8">
        <v>5641</v>
      </c>
      <c r="H148" s="8">
        <v>5697</v>
      </c>
      <c r="I148" s="8">
        <v>5033</v>
      </c>
      <c r="J148" s="8">
        <v>5266</v>
      </c>
      <c r="K148" s="8">
        <v>5307</v>
      </c>
      <c r="L148" s="8">
        <v>5134</v>
      </c>
      <c r="M148" s="8">
        <v>4491</v>
      </c>
      <c r="N148" s="7">
        <f t="shared" si="4"/>
        <v>106.31813902639011</v>
      </c>
      <c r="O148" s="7">
        <f t="shared" si="5"/>
        <v>108.37211605109415</v>
      </c>
    </row>
    <row r="149" spans="1:15" x14ac:dyDescent="0.25">
      <c r="A149" s="57">
        <v>1971</v>
      </c>
      <c r="B149" t="s">
        <v>55</v>
      </c>
      <c r="C149" t="s">
        <v>225</v>
      </c>
      <c r="D149" s="8">
        <v>119623</v>
      </c>
      <c r="E149" s="8">
        <v>116803</v>
      </c>
      <c r="F149" s="8">
        <v>8970</v>
      </c>
      <c r="G149" s="8">
        <v>8897</v>
      </c>
      <c r="H149" s="8">
        <v>9501</v>
      </c>
      <c r="I149" s="8">
        <v>9911</v>
      </c>
      <c r="J149" s="8">
        <v>8423</v>
      </c>
      <c r="K149" s="8">
        <v>8867</v>
      </c>
      <c r="L149" s="8">
        <v>9699</v>
      </c>
      <c r="M149" s="8">
        <v>9590</v>
      </c>
      <c r="N149" s="7">
        <f t="shared" si="4"/>
        <v>102.41432154996019</v>
      </c>
      <c r="O149" s="7">
        <f t="shared" si="5"/>
        <v>101.9136663112715</v>
      </c>
    </row>
    <row r="150" spans="1:15" x14ac:dyDescent="0.25">
      <c r="A150" s="57">
        <v>2101</v>
      </c>
      <c r="B150" t="s">
        <v>56</v>
      </c>
      <c r="C150" t="s">
        <v>226</v>
      </c>
      <c r="D150" s="8">
        <v>137690</v>
      </c>
      <c r="E150" s="8">
        <v>130900</v>
      </c>
      <c r="F150" s="8">
        <v>9932</v>
      </c>
      <c r="G150" s="8">
        <v>10168</v>
      </c>
      <c r="H150" s="8">
        <v>10178</v>
      </c>
      <c r="I150" s="8">
        <v>10111</v>
      </c>
      <c r="J150" s="8">
        <v>9737</v>
      </c>
      <c r="K150" s="8">
        <v>10055</v>
      </c>
      <c r="L150" s="8">
        <v>9690</v>
      </c>
      <c r="M150" s="8">
        <v>9872</v>
      </c>
      <c r="N150" s="7">
        <f t="shared" si="4"/>
        <v>105.18716577540106</v>
      </c>
      <c r="O150" s="7">
        <f t="shared" si="5"/>
        <v>102.62997408141486</v>
      </c>
    </row>
    <row r="151" spans="1:15" x14ac:dyDescent="0.25">
      <c r="A151" s="57">
        <v>2102</v>
      </c>
      <c r="B151" t="s">
        <v>56</v>
      </c>
      <c r="C151" t="s">
        <v>227</v>
      </c>
      <c r="D151" s="8">
        <v>88710</v>
      </c>
      <c r="E151" s="8">
        <v>83953</v>
      </c>
      <c r="F151" s="8">
        <v>6845</v>
      </c>
      <c r="G151" s="8">
        <v>6276</v>
      </c>
      <c r="H151" s="8">
        <v>6098</v>
      </c>
      <c r="I151" s="8">
        <v>6494</v>
      </c>
      <c r="J151" s="8">
        <v>6620</v>
      </c>
      <c r="K151" s="8">
        <v>6176</v>
      </c>
      <c r="L151" s="8">
        <v>6139</v>
      </c>
      <c r="M151" s="8">
        <v>6654</v>
      </c>
      <c r="N151" s="7">
        <f t="shared" si="4"/>
        <v>105.66626564863675</v>
      </c>
      <c r="O151" s="7">
        <f t="shared" si="5"/>
        <v>100.48458321935207</v>
      </c>
    </row>
    <row r="152" spans="1:15" x14ac:dyDescent="0.25">
      <c r="A152" s="57">
        <v>2103</v>
      </c>
      <c r="B152" t="s">
        <v>56</v>
      </c>
      <c r="C152" t="s">
        <v>228</v>
      </c>
      <c r="D152" s="8">
        <v>45114</v>
      </c>
      <c r="E152" s="8">
        <v>42711</v>
      </c>
      <c r="F152" s="8">
        <v>3841</v>
      </c>
      <c r="G152" s="8">
        <v>3400</v>
      </c>
      <c r="H152" s="8">
        <v>3208</v>
      </c>
      <c r="I152" s="8">
        <v>3218</v>
      </c>
      <c r="J152" s="8">
        <v>3706</v>
      </c>
      <c r="K152" s="8">
        <v>3289</v>
      </c>
      <c r="L152" s="8">
        <v>2993</v>
      </c>
      <c r="M152" s="8">
        <v>3302</v>
      </c>
      <c r="N152" s="7">
        <f t="shared" si="4"/>
        <v>105.6261852918452</v>
      </c>
      <c r="O152" s="7">
        <f t="shared" si="5"/>
        <v>102.83671933784801</v>
      </c>
    </row>
    <row r="153" spans="1:15" x14ac:dyDescent="0.25">
      <c r="A153" s="57">
        <v>2104</v>
      </c>
      <c r="B153" t="s">
        <v>56</v>
      </c>
      <c r="C153" t="s">
        <v>229</v>
      </c>
      <c r="D153" s="8">
        <v>53704</v>
      </c>
      <c r="E153" s="8">
        <v>50176</v>
      </c>
      <c r="F153" s="8">
        <v>4531</v>
      </c>
      <c r="G153" s="8">
        <v>3691</v>
      </c>
      <c r="H153" s="8">
        <v>3522</v>
      </c>
      <c r="I153" s="8">
        <v>4032</v>
      </c>
      <c r="J153" s="8">
        <v>4408</v>
      </c>
      <c r="K153" s="8">
        <v>3642</v>
      </c>
      <c r="L153" s="8">
        <v>3420</v>
      </c>
      <c r="M153" s="8">
        <v>3775</v>
      </c>
      <c r="N153" s="7">
        <f t="shared" si="4"/>
        <v>107.03125</v>
      </c>
      <c r="O153" s="7">
        <f t="shared" si="5"/>
        <v>103.48310921613644</v>
      </c>
    </row>
    <row r="154" spans="1:15" x14ac:dyDescent="0.25">
      <c r="A154" s="57">
        <v>2105</v>
      </c>
      <c r="B154" t="s">
        <v>56</v>
      </c>
      <c r="C154" t="s">
        <v>230</v>
      </c>
      <c r="D154" s="8">
        <v>26356</v>
      </c>
      <c r="E154" s="8">
        <v>24627</v>
      </c>
      <c r="F154" s="8">
        <v>2145</v>
      </c>
      <c r="G154" s="8">
        <v>1928</v>
      </c>
      <c r="H154" s="8">
        <v>1884</v>
      </c>
      <c r="I154" s="8">
        <v>2069</v>
      </c>
      <c r="J154" s="8">
        <v>2117</v>
      </c>
      <c r="K154" s="8">
        <v>1891</v>
      </c>
      <c r="L154" s="8">
        <v>1839</v>
      </c>
      <c r="M154" s="8">
        <v>1954</v>
      </c>
      <c r="N154" s="7">
        <f t="shared" si="4"/>
        <v>107.02074958379015</v>
      </c>
      <c r="O154" s="7">
        <f t="shared" si="5"/>
        <v>102.88424560953725</v>
      </c>
    </row>
    <row r="155" spans="1:15" x14ac:dyDescent="0.25">
      <c r="A155" s="57">
        <v>2171</v>
      </c>
      <c r="B155" t="s">
        <v>56</v>
      </c>
      <c r="C155" t="s">
        <v>231</v>
      </c>
      <c r="D155" s="8">
        <v>663668</v>
      </c>
      <c r="E155" s="8">
        <v>653075</v>
      </c>
      <c r="F155" s="8">
        <v>52236</v>
      </c>
      <c r="G155" s="8">
        <v>57413</v>
      </c>
      <c r="H155" s="8">
        <v>55906</v>
      </c>
      <c r="I155" s="8">
        <v>56172</v>
      </c>
      <c r="J155" s="8">
        <v>49617</v>
      </c>
      <c r="K155" s="8">
        <v>56829</v>
      </c>
      <c r="L155" s="8">
        <v>56804</v>
      </c>
      <c r="M155" s="8">
        <v>57058</v>
      </c>
      <c r="N155" s="7">
        <f t="shared" si="4"/>
        <v>101.62201891053861</v>
      </c>
      <c r="O155" s="7">
        <f t="shared" si="5"/>
        <v>100.64409826243259</v>
      </c>
    </row>
    <row r="156" spans="1:15" x14ac:dyDescent="0.25">
      <c r="A156" s="57">
        <v>2172</v>
      </c>
      <c r="B156" t="s">
        <v>56</v>
      </c>
      <c r="C156" t="s">
        <v>232</v>
      </c>
      <c r="D156" s="8">
        <v>122429</v>
      </c>
      <c r="E156" s="8">
        <v>119992</v>
      </c>
      <c r="F156" s="8">
        <v>9762</v>
      </c>
      <c r="G156" s="8">
        <v>8885</v>
      </c>
      <c r="H156" s="8">
        <v>8906</v>
      </c>
      <c r="I156" s="8">
        <v>8727</v>
      </c>
      <c r="J156" s="8">
        <v>9515</v>
      </c>
      <c r="K156" s="8">
        <v>9054</v>
      </c>
      <c r="L156" s="8">
        <v>8971</v>
      </c>
      <c r="M156" s="8">
        <v>8961</v>
      </c>
      <c r="N156" s="7">
        <f t="shared" si="4"/>
        <v>102.03096873124875</v>
      </c>
      <c r="O156" s="7">
        <f t="shared" si="5"/>
        <v>99.394537135968875</v>
      </c>
    </row>
    <row r="157" spans="1:15" x14ac:dyDescent="0.25">
      <c r="A157" s="57">
        <v>3101</v>
      </c>
      <c r="B157" t="s">
        <v>57</v>
      </c>
      <c r="C157" t="s">
        <v>233</v>
      </c>
      <c r="D157" s="8">
        <v>14591</v>
      </c>
      <c r="E157" s="8">
        <v>14764</v>
      </c>
      <c r="F157" s="8">
        <v>1237</v>
      </c>
      <c r="G157" s="8">
        <v>1228</v>
      </c>
      <c r="H157" s="8">
        <v>1123</v>
      </c>
      <c r="I157" s="8">
        <v>1122</v>
      </c>
      <c r="J157" s="8">
        <v>1306</v>
      </c>
      <c r="K157" s="8">
        <v>1365</v>
      </c>
      <c r="L157" s="8">
        <v>1180</v>
      </c>
      <c r="M157" s="8">
        <v>1091</v>
      </c>
      <c r="N157" s="7">
        <f t="shared" si="4"/>
        <v>98.828230831752919</v>
      </c>
      <c r="O157" s="7">
        <f t="shared" si="5"/>
        <v>95.305544314042905</v>
      </c>
    </row>
    <row r="158" spans="1:15" x14ac:dyDescent="0.25">
      <c r="A158" s="57">
        <v>3171</v>
      </c>
      <c r="B158" t="s">
        <v>57</v>
      </c>
      <c r="C158" t="s">
        <v>234</v>
      </c>
      <c r="D158" s="8">
        <v>1104527</v>
      </c>
      <c r="E158" s="8">
        <v>1103330</v>
      </c>
      <c r="F158" s="8">
        <v>84184</v>
      </c>
      <c r="G158" s="8">
        <v>84317</v>
      </c>
      <c r="H158" s="8">
        <v>81657</v>
      </c>
      <c r="I158" s="8">
        <v>81805</v>
      </c>
      <c r="J158" s="8">
        <v>81635</v>
      </c>
      <c r="K158" s="8">
        <v>81372</v>
      </c>
      <c r="L158" s="8">
        <v>80186</v>
      </c>
      <c r="M158" s="8">
        <v>83573</v>
      </c>
      <c r="N158" s="7">
        <f t="shared" si="4"/>
        <v>100.10848975374549</v>
      </c>
      <c r="O158" s="7">
        <f t="shared" si="5"/>
        <v>101.59043474535294</v>
      </c>
    </row>
    <row r="159" spans="1:15" x14ac:dyDescent="0.25">
      <c r="A159" s="57">
        <v>3172</v>
      </c>
      <c r="B159" t="s">
        <v>57</v>
      </c>
      <c r="C159" t="s">
        <v>235</v>
      </c>
      <c r="D159" s="8">
        <v>1542039</v>
      </c>
      <c r="E159" s="8">
        <v>1541949</v>
      </c>
      <c r="F159" s="8">
        <v>119250</v>
      </c>
      <c r="G159" s="8">
        <v>117489</v>
      </c>
      <c r="H159" s="8">
        <v>114711</v>
      </c>
      <c r="I159" s="8">
        <v>117546</v>
      </c>
      <c r="J159" s="8">
        <v>114938</v>
      </c>
      <c r="K159" s="8">
        <v>114057</v>
      </c>
      <c r="L159" s="8">
        <v>115842</v>
      </c>
      <c r="M159" s="8">
        <v>119787</v>
      </c>
      <c r="N159" s="7">
        <f t="shared" si="4"/>
        <v>100.00583676892036</v>
      </c>
      <c r="O159" s="7">
        <f t="shared" si="5"/>
        <v>100.94097592892317</v>
      </c>
    </row>
    <row r="160" spans="1:15" x14ac:dyDescent="0.25">
      <c r="A160" s="57">
        <v>3173</v>
      </c>
      <c r="B160" t="s">
        <v>57</v>
      </c>
      <c r="C160" t="s">
        <v>236</v>
      </c>
      <c r="D160" s="8">
        <v>521309</v>
      </c>
      <c r="E160" s="8">
        <v>510927</v>
      </c>
      <c r="F160" s="8">
        <v>40356</v>
      </c>
      <c r="G160" s="8">
        <v>39874</v>
      </c>
      <c r="H160" s="8">
        <v>38908</v>
      </c>
      <c r="I160" s="8">
        <v>40916</v>
      </c>
      <c r="J160" s="8">
        <v>38290</v>
      </c>
      <c r="K160" s="8">
        <v>38244</v>
      </c>
      <c r="L160" s="8">
        <v>36975</v>
      </c>
      <c r="M160" s="8">
        <v>38098</v>
      </c>
      <c r="N160" s="7">
        <f t="shared" si="4"/>
        <v>102.03199282872113</v>
      </c>
      <c r="O160" s="7">
        <f t="shared" si="5"/>
        <v>105.57164247033448</v>
      </c>
    </row>
    <row r="161" spans="1:15" x14ac:dyDescent="0.25">
      <c r="A161" s="57">
        <v>3174</v>
      </c>
      <c r="B161" t="s">
        <v>57</v>
      </c>
      <c r="C161" t="s">
        <v>237</v>
      </c>
      <c r="D161" s="8">
        <v>1250773</v>
      </c>
      <c r="E161" s="8">
        <v>1243337</v>
      </c>
      <c r="F161" s="8">
        <v>95163</v>
      </c>
      <c r="G161" s="8">
        <v>93137</v>
      </c>
      <c r="H161" s="8">
        <v>94185</v>
      </c>
      <c r="I161" s="8">
        <v>100073</v>
      </c>
      <c r="J161" s="8">
        <v>90894</v>
      </c>
      <c r="K161" s="8">
        <v>91682</v>
      </c>
      <c r="L161" s="8">
        <v>93079</v>
      </c>
      <c r="M161" s="8">
        <v>100208</v>
      </c>
      <c r="N161" s="7">
        <f t="shared" si="4"/>
        <v>100.5980679413546</v>
      </c>
      <c r="O161" s="7">
        <f t="shared" si="5"/>
        <v>101.78123411987879</v>
      </c>
    </row>
    <row r="162" spans="1:15" x14ac:dyDescent="0.25">
      <c r="A162" s="57">
        <v>3175</v>
      </c>
      <c r="B162" t="s">
        <v>57</v>
      </c>
      <c r="C162" t="s">
        <v>238</v>
      </c>
      <c r="D162" s="8">
        <v>916210</v>
      </c>
      <c r="E162" s="8">
        <v>905946</v>
      </c>
      <c r="F162" s="8">
        <v>68698</v>
      </c>
      <c r="G162" s="8">
        <v>68034</v>
      </c>
      <c r="H162" s="8">
        <v>69330</v>
      </c>
      <c r="I162" s="8">
        <v>73954</v>
      </c>
      <c r="J162" s="8">
        <v>66020</v>
      </c>
      <c r="K162" s="8">
        <v>66663</v>
      </c>
      <c r="L162" s="8">
        <v>68345</v>
      </c>
      <c r="M162" s="8">
        <v>72047</v>
      </c>
      <c r="N162" s="7">
        <f t="shared" si="4"/>
        <v>101.13295935960862</v>
      </c>
      <c r="O162" s="7">
        <f t="shared" si="5"/>
        <v>102.54179254783485</v>
      </c>
    </row>
    <row r="163" spans="1:15" x14ac:dyDescent="0.25">
      <c r="A163" s="57">
        <v>3201</v>
      </c>
      <c r="B163" t="s">
        <v>58</v>
      </c>
      <c r="C163" t="s">
        <v>239</v>
      </c>
      <c r="D163" s="8">
        <v>2948359</v>
      </c>
      <c r="E163" s="8">
        <v>2812585</v>
      </c>
      <c r="F163" s="8">
        <v>234217</v>
      </c>
      <c r="G163" s="8">
        <v>243440</v>
      </c>
      <c r="H163" s="8">
        <v>244210</v>
      </c>
      <c r="I163" s="8">
        <v>250629</v>
      </c>
      <c r="J163" s="8">
        <v>219407</v>
      </c>
      <c r="K163" s="8">
        <v>227496</v>
      </c>
      <c r="L163" s="8">
        <v>232276</v>
      </c>
      <c r="M163" s="8">
        <v>237494</v>
      </c>
      <c r="N163" s="7">
        <f t="shared" si="4"/>
        <v>104.82737410602702</v>
      </c>
      <c r="O163" s="7">
        <f t="shared" si="5"/>
        <v>106.08973974361631</v>
      </c>
    </row>
    <row r="164" spans="1:15" x14ac:dyDescent="0.25">
      <c r="A164" s="57">
        <v>3202</v>
      </c>
      <c r="B164" t="s">
        <v>58</v>
      </c>
      <c r="C164" t="s">
        <v>240</v>
      </c>
      <c r="D164" s="8">
        <v>1455065</v>
      </c>
      <c r="E164" s="8">
        <v>1420346</v>
      </c>
      <c r="F164" s="8">
        <v>120897</v>
      </c>
      <c r="G164" s="8">
        <v>122151</v>
      </c>
      <c r="H164" s="8">
        <v>116048</v>
      </c>
      <c r="I164" s="8">
        <v>110572</v>
      </c>
      <c r="J164" s="8">
        <v>113515</v>
      </c>
      <c r="K164" s="8">
        <v>113149</v>
      </c>
      <c r="L164" s="8">
        <v>109587</v>
      </c>
      <c r="M164" s="8">
        <v>109333</v>
      </c>
      <c r="N164" s="7">
        <f t="shared" si="4"/>
        <v>102.44440439160599</v>
      </c>
      <c r="O164" s="7">
        <f t="shared" si="5"/>
        <v>105.40504147366154</v>
      </c>
    </row>
    <row r="165" spans="1:15" x14ac:dyDescent="0.25">
      <c r="A165" s="57">
        <v>3203</v>
      </c>
      <c r="B165" t="s">
        <v>58</v>
      </c>
      <c r="C165" t="s">
        <v>241</v>
      </c>
      <c r="D165" s="8">
        <v>1345247</v>
      </c>
      <c r="E165" s="8">
        <v>1289597</v>
      </c>
      <c r="F165" s="8">
        <v>109353</v>
      </c>
      <c r="G165" s="8">
        <v>111197</v>
      </c>
      <c r="H165" s="8">
        <v>104759</v>
      </c>
      <c r="I165" s="8">
        <v>101287</v>
      </c>
      <c r="J165" s="8">
        <v>101038</v>
      </c>
      <c r="K165" s="8">
        <v>101408</v>
      </c>
      <c r="L165" s="8">
        <v>96549</v>
      </c>
      <c r="M165" s="8">
        <v>96760</v>
      </c>
      <c r="N165" s="7">
        <f t="shared" si="4"/>
        <v>104.31530160197333</v>
      </c>
      <c r="O165" s="7">
        <f t="shared" si="5"/>
        <v>107.79295271064169</v>
      </c>
    </row>
    <row r="166" spans="1:15" x14ac:dyDescent="0.25">
      <c r="A166" s="57">
        <v>3204</v>
      </c>
      <c r="B166" t="s">
        <v>58</v>
      </c>
      <c r="C166" t="s">
        <v>242</v>
      </c>
      <c r="D166" s="8">
        <v>1936567</v>
      </c>
      <c r="E166" s="8">
        <v>1875845</v>
      </c>
      <c r="F166" s="8">
        <v>165108</v>
      </c>
      <c r="G166" s="8">
        <v>153702</v>
      </c>
      <c r="H166" s="8">
        <v>149249</v>
      </c>
      <c r="I166" s="8">
        <v>141073</v>
      </c>
      <c r="J166" s="8">
        <v>154843</v>
      </c>
      <c r="K166" s="8">
        <v>146600</v>
      </c>
      <c r="L166" s="8">
        <v>143728</v>
      </c>
      <c r="M166" s="8">
        <v>134430</v>
      </c>
      <c r="N166" s="7">
        <f t="shared" si="4"/>
        <v>103.23704783710808</v>
      </c>
      <c r="O166" s="7">
        <f t="shared" si="5"/>
        <v>105.09505677181372</v>
      </c>
    </row>
    <row r="167" spans="1:15" x14ac:dyDescent="0.25">
      <c r="A167" s="57">
        <v>3205</v>
      </c>
      <c r="B167" t="s">
        <v>58</v>
      </c>
      <c r="C167" t="s">
        <v>243</v>
      </c>
      <c r="D167" s="8">
        <v>1419082</v>
      </c>
      <c r="E167" s="8">
        <v>1360616</v>
      </c>
      <c r="F167" s="8">
        <v>126322</v>
      </c>
      <c r="G167" s="8">
        <v>129297</v>
      </c>
      <c r="H167" s="8">
        <v>114431</v>
      </c>
      <c r="I167" s="8">
        <v>103631</v>
      </c>
      <c r="J167" s="8">
        <v>117476</v>
      </c>
      <c r="K167" s="8">
        <v>117068</v>
      </c>
      <c r="L167" s="8">
        <v>105833</v>
      </c>
      <c r="M167" s="8">
        <v>99339</v>
      </c>
      <c r="N167" s="7">
        <f t="shared" si="4"/>
        <v>104.29702428899851</v>
      </c>
      <c r="O167" s="7">
        <f t="shared" si="5"/>
        <v>107.7243038688608</v>
      </c>
    </row>
    <row r="168" spans="1:15" x14ac:dyDescent="0.25">
      <c r="A168" s="57">
        <v>3206</v>
      </c>
      <c r="B168" t="s">
        <v>58</v>
      </c>
      <c r="C168" t="s">
        <v>244</v>
      </c>
      <c r="D168" s="8">
        <v>983509</v>
      </c>
      <c r="E168" s="8">
        <v>962688</v>
      </c>
      <c r="F168" s="8">
        <v>80624</v>
      </c>
      <c r="G168" s="8">
        <v>80320</v>
      </c>
      <c r="H168" s="8">
        <v>74006</v>
      </c>
      <c r="I168" s="8">
        <v>67449</v>
      </c>
      <c r="J168" s="8">
        <v>75941</v>
      </c>
      <c r="K168" s="8">
        <v>72994</v>
      </c>
      <c r="L168" s="8">
        <v>68179</v>
      </c>
      <c r="M168" s="8">
        <v>65641</v>
      </c>
      <c r="N168" s="7">
        <f t="shared" si="4"/>
        <v>102.16279833133892</v>
      </c>
      <c r="O168" s="7">
        <f t="shared" si="5"/>
        <v>106.94735725274531</v>
      </c>
    </row>
    <row r="169" spans="1:15" x14ac:dyDescent="0.25">
      <c r="A169" s="57">
        <v>3207</v>
      </c>
      <c r="B169" t="s">
        <v>58</v>
      </c>
      <c r="C169" t="s">
        <v>245</v>
      </c>
      <c r="D169" s="8">
        <v>635483</v>
      </c>
      <c r="E169" s="8">
        <v>637675</v>
      </c>
      <c r="F169" s="8">
        <v>50797</v>
      </c>
      <c r="G169" s="8">
        <v>50445</v>
      </c>
      <c r="H169" s="8">
        <v>47312</v>
      </c>
      <c r="I169" s="8">
        <v>42170</v>
      </c>
      <c r="J169" s="8">
        <v>47853</v>
      </c>
      <c r="K169" s="8">
        <v>47231</v>
      </c>
      <c r="L169" s="8">
        <v>43116</v>
      </c>
      <c r="M169" s="8">
        <v>41212</v>
      </c>
      <c r="N169" s="7">
        <f t="shared" si="4"/>
        <v>99.656251225153881</v>
      </c>
      <c r="O169" s="7">
        <f t="shared" si="5"/>
        <v>106.30504091142177</v>
      </c>
    </row>
    <row r="170" spans="1:15" x14ac:dyDescent="0.25">
      <c r="A170" s="57">
        <v>3208</v>
      </c>
      <c r="B170" t="s">
        <v>58</v>
      </c>
      <c r="C170" t="s">
        <v>246</v>
      </c>
      <c r="D170" s="8">
        <v>625630</v>
      </c>
      <c r="E170" s="8">
        <v>611131</v>
      </c>
      <c r="F170" s="8">
        <v>49579</v>
      </c>
      <c r="G170" s="8">
        <v>47366</v>
      </c>
      <c r="H170" s="8">
        <v>45532</v>
      </c>
      <c r="I170" s="8">
        <v>44595</v>
      </c>
      <c r="J170" s="8">
        <v>46075</v>
      </c>
      <c r="K170" s="8">
        <v>44949</v>
      </c>
      <c r="L170" s="8">
        <v>42444</v>
      </c>
      <c r="M170" s="8">
        <v>42751</v>
      </c>
      <c r="N170" s="7">
        <f t="shared" si="4"/>
        <v>102.37248642271462</v>
      </c>
      <c r="O170" s="7">
        <f t="shared" si="5"/>
        <v>106.15881374880121</v>
      </c>
    </row>
    <row r="171" spans="1:15" x14ac:dyDescent="0.25">
      <c r="A171" s="57">
        <v>3209</v>
      </c>
      <c r="B171" t="s">
        <v>58</v>
      </c>
      <c r="C171" t="s">
        <v>247</v>
      </c>
      <c r="D171" s="8">
        <v>1232843</v>
      </c>
      <c r="E171" s="8">
        <v>1205814</v>
      </c>
      <c r="F171" s="8">
        <v>91380</v>
      </c>
      <c r="G171" s="8">
        <v>100859</v>
      </c>
      <c r="H171" s="8">
        <v>101889</v>
      </c>
      <c r="I171" s="8">
        <v>102477</v>
      </c>
      <c r="J171" s="8">
        <v>86031</v>
      </c>
      <c r="K171" s="8">
        <v>96719</v>
      </c>
      <c r="L171" s="8">
        <v>95602</v>
      </c>
      <c r="M171" s="8">
        <v>97624</v>
      </c>
      <c r="N171" s="7">
        <f t="shared" si="4"/>
        <v>102.24155632626591</v>
      </c>
      <c r="O171" s="7">
        <f t="shared" si="5"/>
        <v>105.48678639062068</v>
      </c>
    </row>
    <row r="172" spans="1:15" x14ac:dyDescent="0.25">
      <c r="A172" s="57">
        <v>3210</v>
      </c>
      <c r="B172" t="s">
        <v>58</v>
      </c>
      <c r="C172" t="s">
        <v>248</v>
      </c>
      <c r="D172" s="8">
        <v>688244</v>
      </c>
      <c r="E172" s="8">
        <v>686357</v>
      </c>
      <c r="F172" s="8">
        <v>53599</v>
      </c>
      <c r="G172" s="8">
        <v>52730</v>
      </c>
      <c r="H172" s="8">
        <v>51744</v>
      </c>
      <c r="I172" s="8">
        <v>49438</v>
      </c>
      <c r="J172" s="8">
        <v>51323</v>
      </c>
      <c r="K172" s="8">
        <v>51506</v>
      </c>
      <c r="L172" s="8">
        <v>49148</v>
      </c>
      <c r="M172" s="8">
        <v>48667</v>
      </c>
      <c r="N172" s="7">
        <f t="shared" si="4"/>
        <v>100.27492981057962</v>
      </c>
      <c r="O172" s="7">
        <f t="shared" si="5"/>
        <v>103.42247961563764</v>
      </c>
    </row>
    <row r="173" spans="1:15" x14ac:dyDescent="0.25">
      <c r="A173" s="57">
        <v>3211</v>
      </c>
      <c r="B173" t="s">
        <v>58</v>
      </c>
      <c r="C173" t="s">
        <v>249</v>
      </c>
      <c r="D173" s="8">
        <v>605453</v>
      </c>
      <c r="E173" s="8">
        <v>598269</v>
      </c>
      <c r="F173" s="8">
        <v>50845</v>
      </c>
      <c r="G173" s="8">
        <v>49024</v>
      </c>
      <c r="H173" s="8">
        <v>46738</v>
      </c>
      <c r="I173" s="8">
        <v>41720</v>
      </c>
      <c r="J173" s="8">
        <v>47082</v>
      </c>
      <c r="K173" s="8">
        <v>45105</v>
      </c>
      <c r="L173" s="8">
        <v>43877</v>
      </c>
      <c r="M173" s="8">
        <v>40620</v>
      </c>
      <c r="N173" s="7">
        <f t="shared" si="4"/>
        <v>101.20079763450889</v>
      </c>
      <c r="O173" s="7">
        <f t="shared" si="5"/>
        <v>106.58973081886305</v>
      </c>
    </row>
    <row r="174" spans="1:15" x14ac:dyDescent="0.25">
      <c r="A174" s="57">
        <v>3212</v>
      </c>
      <c r="B174" t="s">
        <v>58</v>
      </c>
      <c r="C174" t="s">
        <v>250</v>
      </c>
      <c r="D174" s="8">
        <v>976940</v>
      </c>
      <c r="E174" s="8">
        <v>973376</v>
      </c>
      <c r="F174" s="8">
        <v>74383</v>
      </c>
      <c r="G174" s="8">
        <v>79884</v>
      </c>
      <c r="H174" s="8">
        <v>79698</v>
      </c>
      <c r="I174" s="8">
        <v>77137</v>
      </c>
      <c r="J174" s="8">
        <v>70770</v>
      </c>
      <c r="K174" s="8">
        <v>75190</v>
      </c>
      <c r="L174" s="8">
        <v>72125</v>
      </c>
      <c r="M174" s="8">
        <v>72827</v>
      </c>
      <c r="N174" s="7">
        <f t="shared" si="4"/>
        <v>100.36614833322375</v>
      </c>
      <c r="O174" s="7">
        <f t="shared" si="5"/>
        <v>106.94024309756902</v>
      </c>
    </row>
    <row r="175" spans="1:15" x14ac:dyDescent="0.25">
      <c r="A175" s="57">
        <v>3213</v>
      </c>
      <c r="B175" t="s">
        <v>58</v>
      </c>
      <c r="C175" t="s">
        <v>251</v>
      </c>
      <c r="D175" s="8">
        <v>842915</v>
      </c>
      <c r="E175" s="8">
        <v>844428</v>
      </c>
      <c r="F175" s="8">
        <v>64851</v>
      </c>
      <c r="G175" s="8">
        <v>66018</v>
      </c>
      <c r="H175" s="8">
        <v>65087</v>
      </c>
      <c r="I175" s="8">
        <v>58472</v>
      </c>
      <c r="J175" s="8">
        <v>61577</v>
      </c>
      <c r="K175" s="8">
        <v>64394</v>
      </c>
      <c r="L175" s="8">
        <v>63675</v>
      </c>
      <c r="M175" s="8">
        <v>60703</v>
      </c>
      <c r="N175" s="7">
        <f t="shared" si="4"/>
        <v>99.820825458179968</v>
      </c>
      <c r="O175" s="7">
        <f t="shared" si="5"/>
        <v>101.62932546165553</v>
      </c>
    </row>
    <row r="176" spans="1:15" x14ac:dyDescent="0.25">
      <c r="A176" s="57">
        <v>3214</v>
      </c>
      <c r="B176" t="s">
        <v>58</v>
      </c>
      <c r="C176" t="s">
        <v>252</v>
      </c>
      <c r="D176" s="8">
        <v>544524</v>
      </c>
      <c r="E176" s="8">
        <v>530719</v>
      </c>
      <c r="F176" s="8">
        <v>43948</v>
      </c>
      <c r="G176" s="8">
        <v>43805</v>
      </c>
      <c r="H176" s="8">
        <v>43592</v>
      </c>
      <c r="I176" s="8">
        <v>42507</v>
      </c>
      <c r="J176" s="8">
        <v>41341</v>
      </c>
      <c r="K176" s="8">
        <v>41967</v>
      </c>
      <c r="L176" s="8">
        <v>42219</v>
      </c>
      <c r="M176" s="8">
        <v>41219</v>
      </c>
      <c r="N176" s="7">
        <f t="shared" si="4"/>
        <v>102.60118819940496</v>
      </c>
      <c r="O176" s="7">
        <f t="shared" si="5"/>
        <v>104.26157149196982</v>
      </c>
    </row>
    <row r="177" spans="1:15" x14ac:dyDescent="0.25">
      <c r="A177" s="57">
        <v>3215</v>
      </c>
      <c r="B177" t="s">
        <v>58</v>
      </c>
      <c r="C177" t="s">
        <v>253</v>
      </c>
      <c r="D177" s="8">
        <v>1314741</v>
      </c>
      <c r="E177" s="8">
        <v>1292540</v>
      </c>
      <c r="F177" s="8">
        <v>99599</v>
      </c>
      <c r="G177" s="8">
        <v>102668</v>
      </c>
      <c r="H177" s="8">
        <v>110277</v>
      </c>
      <c r="I177" s="8">
        <v>110062</v>
      </c>
      <c r="J177" s="8">
        <v>94113</v>
      </c>
      <c r="K177" s="8">
        <v>99523</v>
      </c>
      <c r="L177" s="8">
        <v>107924</v>
      </c>
      <c r="M177" s="8">
        <v>104801</v>
      </c>
      <c r="N177" s="7">
        <f t="shared" si="4"/>
        <v>101.71762576013121</v>
      </c>
      <c r="O177" s="7">
        <f t="shared" si="5"/>
        <v>103.99767694242313</v>
      </c>
    </row>
    <row r="178" spans="1:15" x14ac:dyDescent="0.25">
      <c r="A178" s="57">
        <v>3216</v>
      </c>
      <c r="B178" t="s">
        <v>58</v>
      </c>
      <c r="C178" t="s">
        <v>254</v>
      </c>
      <c r="D178" s="8">
        <v>1683152</v>
      </c>
      <c r="E178" s="8">
        <v>1648248</v>
      </c>
      <c r="F178" s="8">
        <v>117410</v>
      </c>
      <c r="G178" s="8">
        <v>119047</v>
      </c>
      <c r="H178" s="8">
        <v>132522</v>
      </c>
      <c r="I178" s="8">
        <v>149589</v>
      </c>
      <c r="J178" s="8">
        <v>112342</v>
      </c>
      <c r="K178" s="8">
        <v>116208</v>
      </c>
      <c r="L178" s="8">
        <v>138721</v>
      </c>
      <c r="M178" s="8">
        <v>152909</v>
      </c>
      <c r="N178" s="7">
        <f t="shared" si="4"/>
        <v>102.11764249069316</v>
      </c>
      <c r="O178" s="7">
        <f t="shared" si="5"/>
        <v>99.69010727056019</v>
      </c>
    </row>
    <row r="179" spans="1:15" x14ac:dyDescent="0.25">
      <c r="A179" s="57">
        <v>3217</v>
      </c>
      <c r="B179" t="s">
        <v>58</v>
      </c>
      <c r="C179" t="s">
        <v>255</v>
      </c>
      <c r="D179" s="8">
        <v>982823</v>
      </c>
      <c r="E179" s="8">
        <v>948249</v>
      </c>
      <c r="F179" s="8">
        <v>82134</v>
      </c>
      <c r="G179" s="8">
        <v>80427</v>
      </c>
      <c r="H179" s="8">
        <v>77894</v>
      </c>
      <c r="I179" s="8">
        <v>71686</v>
      </c>
      <c r="J179" s="8">
        <v>76582</v>
      </c>
      <c r="K179" s="8">
        <v>74343</v>
      </c>
      <c r="L179" s="8">
        <v>74421</v>
      </c>
      <c r="M179" s="8">
        <v>69449</v>
      </c>
      <c r="N179" s="7">
        <f t="shared" si="4"/>
        <v>103.64608873829553</v>
      </c>
      <c r="O179" s="7">
        <f t="shared" si="5"/>
        <v>105.8840889431639</v>
      </c>
    </row>
    <row r="180" spans="1:15" x14ac:dyDescent="0.25">
      <c r="A180" s="57">
        <v>3218</v>
      </c>
      <c r="B180" t="s">
        <v>58</v>
      </c>
      <c r="C180" t="s">
        <v>256</v>
      </c>
      <c r="D180" s="8">
        <v>218860</v>
      </c>
      <c r="E180" s="8">
        <v>219881</v>
      </c>
      <c r="F180" s="8">
        <v>16552</v>
      </c>
      <c r="G180" s="8">
        <v>16911</v>
      </c>
      <c r="H180" s="8">
        <v>16375</v>
      </c>
      <c r="I180" s="8">
        <v>15217</v>
      </c>
      <c r="J180" s="8">
        <v>15641</v>
      </c>
      <c r="K180" s="8">
        <v>15891</v>
      </c>
      <c r="L180" s="8">
        <v>15382</v>
      </c>
      <c r="M180" s="8">
        <v>14920</v>
      </c>
      <c r="N180" s="7">
        <f t="shared" si="4"/>
        <v>99.535657924058924</v>
      </c>
      <c r="O180" s="7">
        <f t="shared" si="5"/>
        <v>105.2091082575929</v>
      </c>
    </row>
    <row r="181" spans="1:15" x14ac:dyDescent="0.25">
      <c r="A181" s="57">
        <v>3271</v>
      </c>
      <c r="B181" t="s">
        <v>58</v>
      </c>
      <c r="C181" t="s">
        <v>257</v>
      </c>
      <c r="D181" s="8">
        <v>550681</v>
      </c>
      <c r="E181" s="8">
        <v>538498</v>
      </c>
      <c r="F181" s="8">
        <v>43925</v>
      </c>
      <c r="G181" s="8">
        <v>42749</v>
      </c>
      <c r="H181" s="8">
        <v>43453</v>
      </c>
      <c r="I181" s="8">
        <v>43292</v>
      </c>
      <c r="J181" s="8">
        <v>41186</v>
      </c>
      <c r="K181" s="8">
        <v>41121</v>
      </c>
      <c r="L181" s="8">
        <v>42023</v>
      </c>
      <c r="M181" s="8">
        <v>41443</v>
      </c>
      <c r="N181" s="7">
        <f t="shared" si="4"/>
        <v>102.26240394578996</v>
      </c>
      <c r="O181" s="7">
        <f t="shared" si="5"/>
        <v>104.61233132054073</v>
      </c>
    </row>
    <row r="182" spans="1:15" x14ac:dyDescent="0.25">
      <c r="A182" s="57">
        <v>3272</v>
      </c>
      <c r="B182" t="s">
        <v>58</v>
      </c>
      <c r="C182" t="s">
        <v>258</v>
      </c>
      <c r="D182" s="8">
        <v>188471</v>
      </c>
      <c r="E182" s="8">
        <v>187113</v>
      </c>
      <c r="F182" s="8">
        <v>15316</v>
      </c>
      <c r="G182" s="8">
        <v>14925</v>
      </c>
      <c r="H182" s="8">
        <v>14756</v>
      </c>
      <c r="I182" s="8">
        <v>14357</v>
      </c>
      <c r="J182" s="8">
        <v>14598</v>
      </c>
      <c r="K182" s="8">
        <v>14916</v>
      </c>
      <c r="L182" s="8">
        <v>14729</v>
      </c>
      <c r="M182" s="8">
        <v>13912</v>
      </c>
      <c r="N182" s="7">
        <f t="shared" si="4"/>
        <v>100.72576464489373</v>
      </c>
      <c r="O182" s="7">
        <f t="shared" si="5"/>
        <v>102.06173157939989</v>
      </c>
    </row>
    <row r="183" spans="1:15" x14ac:dyDescent="0.25">
      <c r="A183" s="57">
        <v>3273</v>
      </c>
      <c r="B183" t="s">
        <v>58</v>
      </c>
      <c r="C183" t="s">
        <v>259</v>
      </c>
      <c r="D183" s="8">
        <v>1286907</v>
      </c>
      <c r="E183" s="8">
        <v>1282195</v>
      </c>
      <c r="F183" s="8">
        <v>106325</v>
      </c>
      <c r="G183" s="8">
        <v>103987</v>
      </c>
      <c r="H183" s="8">
        <v>99980</v>
      </c>
      <c r="I183" s="8">
        <v>95191</v>
      </c>
      <c r="J183" s="8">
        <v>103035</v>
      </c>
      <c r="K183" s="8">
        <v>104544</v>
      </c>
      <c r="L183" s="8">
        <v>98650</v>
      </c>
      <c r="M183" s="8">
        <v>92426</v>
      </c>
      <c r="N183" s="7">
        <f t="shared" si="4"/>
        <v>100.36749480383249</v>
      </c>
      <c r="O183" s="7">
        <f t="shared" si="5"/>
        <v>101.71275915265079</v>
      </c>
    </row>
    <row r="184" spans="1:15" x14ac:dyDescent="0.25">
      <c r="A184" s="57">
        <v>3274</v>
      </c>
      <c r="B184" t="s">
        <v>58</v>
      </c>
      <c r="C184" t="s">
        <v>260</v>
      </c>
      <c r="D184" s="8">
        <v>175625</v>
      </c>
      <c r="E184" s="8">
        <v>174505</v>
      </c>
      <c r="F184" s="8">
        <v>14319</v>
      </c>
      <c r="G184" s="8">
        <v>14539</v>
      </c>
      <c r="H184" s="8">
        <v>13954</v>
      </c>
      <c r="I184" s="8">
        <v>13329</v>
      </c>
      <c r="J184" s="8">
        <v>13554</v>
      </c>
      <c r="K184" s="8">
        <v>13874</v>
      </c>
      <c r="L184" s="8">
        <v>13100</v>
      </c>
      <c r="M184" s="8">
        <v>12575</v>
      </c>
      <c r="N184" s="7">
        <f t="shared" si="4"/>
        <v>100.64181542076159</v>
      </c>
      <c r="O184" s="7">
        <f t="shared" si="5"/>
        <v>105.7209573847052</v>
      </c>
    </row>
    <row r="185" spans="1:15" x14ac:dyDescent="0.25">
      <c r="A185" s="57">
        <v>3275</v>
      </c>
      <c r="B185" t="s">
        <v>58</v>
      </c>
      <c r="C185" t="s">
        <v>261</v>
      </c>
      <c r="D185" s="8">
        <v>1329666</v>
      </c>
      <c r="E185" s="8">
        <v>1323286</v>
      </c>
      <c r="F185" s="8">
        <v>99910</v>
      </c>
      <c r="G185" s="8">
        <v>98764</v>
      </c>
      <c r="H185" s="8">
        <v>105232</v>
      </c>
      <c r="I185" s="8">
        <v>111599</v>
      </c>
      <c r="J185" s="8">
        <v>93378</v>
      </c>
      <c r="K185" s="8">
        <v>95306</v>
      </c>
      <c r="L185" s="8">
        <v>106655</v>
      </c>
      <c r="M185" s="8">
        <v>112235</v>
      </c>
      <c r="N185" s="7">
        <f t="shared" si="4"/>
        <v>100.48213311408117</v>
      </c>
      <c r="O185" s="7">
        <f t="shared" si="5"/>
        <v>101.94590430204084</v>
      </c>
    </row>
    <row r="186" spans="1:15" x14ac:dyDescent="0.25">
      <c r="A186" s="57">
        <v>3276</v>
      </c>
      <c r="B186" t="s">
        <v>58</v>
      </c>
      <c r="C186" t="s">
        <v>262</v>
      </c>
      <c r="D186" s="8">
        <v>1091359</v>
      </c>
      <c r="E186" s="8">
        <v>1081889</v>
      </c>
      <c r="F186" s="8">
        <v>82065</v>
      </c>
      <c r="G186" s="8">
        <v>77698</v>
      </c>
      <c r="H186" s="8">
        <v>80494</v>
      </c>
      <c r="I186" s="8">
        <v>85638</v>
      </c>
      <c r="J186" s="8">
        <v>77724</v>
      </c>
      <c r="K186" s="8">
        <v>74446</v>
      </c>
      <c r="L186" s="8">
        <v>81722</v>
      </c>
      <c r="M186" s="8">
        <v>88245</v>
      </c>
      <c r="N186" s="7">
        <f t="shared" si="4"/>
        <v>100.87532085084514</v>
      </c>
      <c r="O186" s="7">
        <f t="shared" si="5"/>
        <v>101.16658440353017</v>
      </c>
    </row>
    <row r="187" spans="1:15" x14ac:dyDescent="0.25">
      <c r="A187" s="57">
        <v>3277</v>
      </c>
      <c r="B187" t="s">
        <v>58</v>
      </c>
      <c r="C187" t="s">
        <v>263</v>
      </c>
      <c r="D187" s="8">
        <v>309161</v>
      </c>
      <c r="E187" s="8">
        <v>304793</v>
      </c>
      <c r="F187" s="8">
        <v>25311</v>
      </c>
      <c r="G187" s="8">
        <v>25343</v>
      </c>
      <c r="H187" s="8">
        <v>25464</v>
      </c>
      <c r="I187" s="8">
        <v>23555</v>
      </c>
      <c r="J187" s="8">
        <v>24111</v>
      </c>
      <c r="K187" s="8">
        <v>24999</v>
      </c>
      <c r="L187" s="8">
        <v>24525</v>
      </c>
      <c r="M187" s="8">
        <v>21830</v>
      </c>
      <c r="N187" s="7">
        <f t="shared" si="4"/>
        <v>101.43310377863008</v>
      </c>
      <c r="O187" s="7">
        <f t="shared" si="5"/>
        <v>104.40789818258</v>
      </c>
    </row>
    <row r="188" spans="1:15" x14ac:dyDescent="0.25">
      <c r="A188" s="57">
        <v>3278</v>
      </c>
      <c r="B188" t="s">
        <v>58</v>
      </c>
      <c r="C188" t="s">
        <v>264</v>
      </c>
      <c r="D188" s="8">
        <v>387908</v>
      </c>
      <c r="E188" s="8">
        <v>379946</v>
      </c>
      <c r="F188" s="8">
        <v>31496</v>
      </c>
      <c r="G188" s="8">
        <v>30484</v>
      </c>
      <c r="H188" s="8">
        <v>30191</v>
      </c>
      <c r="I188" s="8">
        <v>29572</v>
      </c>
      <c r="J188" s="8">
        <v>30123</v>
      </c>
      <c r="K188" s="8">
        <v>30113</v>
      </c>
      <c r="L188" s="8">
        <v>29341</v>
      </c>
      <c r="M188" s="8">
        <v>28071</v>
      </c>
      <c r="N188" s="7">
        <f t="shared" si="4"/>
        <v>102.09556094813475</v>
      </c>
      <c r="O188" s="7">
        <f t="shared" si="5"/>
        <v>103.48072215422278</v>
      </c>
    </row>
    <row r="189" spans="1:15" x14ac:dyDescent="0.25">
      <c r="A189" s="57">
        <v>3279</v>
      </c>
      <c r="B189" t="s">
        <v>58</v>
      </c>
      <c r="C189" t="s">
        <v>265</v>
      </c>
      <c r="D189" s="8">
        <v>107403</v>
      </c>
      <c r="E189" s="8">
        <v>106681</v>
      </c>
      <c r="F189" s="8">
        <v>8600</v>
      </c>
      <c r="G189" s="8">
        <v>8866</v>
      </c>
      <c r="H189" s="8">
        <v>8894</v>
      </c>
      <c r="I189" s="8">
        <v>8006</v>
      </c>
      <c r="J189" s="8">
        <v>8077</v>
      </c>
      <c r="K189" s="8">
        <v>8354</v>
      </c>
      <c r="L189" s="8">
        <v>8226</v>
      </c>
      <c r="M189" s="8">
        <v>7659</v>
      </c>
      <c r="N189" s="7">
        <f t="shared" si="4"/>
        <v>100.67678405714233</v>
      </c>
      <c r="O189" s="7">
        <f t="shared" si="5"/>
        <v>106.34360688203985</v>
      </c>
    </row>
    <row r="190" spans="1:15" x14ac:dyDescent="0.25">
      <c r="A190" s="57">
        <v>3301</v>
      </c>
      <c r="B190" t="s">
        <v>59</v>
      </c>
      <c r="C190" t="s">
        <v>266</v>
      </c>
      <c r="D190" s="8">
        <v>1038661</v>
      </c>
      <c r="E190" s="8">
        <v>1026149</v>
      </c>
      <c r="F190" s="8">
        <v>76741</v>
      </c>
      <c r="G190" s="8">
        <v>81863</v>
      </c>
      <c r="H190" s="8">
        <v>80934</v>
      </c>
      <c r="I190" s="8">
        <v>79882</v>
      </c>
      <c r="J190" s="8">
        <v>71594</v>
      </c>
      <c r="K190" s="8">
        <v>75231</v>
      </c>
      <c r="L190" s="8">
        <v>74980</v>
      </c>
      <c r="M190" s="8">
        <v>75895</v>
      </c>
      <c r="N190" s="7">
        <f t="shared" si="4"/>
        <v>101.21931610321697</v>
      </c>
      <c r="O190" s="7">
        <f t="shared" si="5"/>
        <v>107.29593550554249</v>
      </c>
    </row>
    <row r="191" spans="1:15" x14ac:dyDescent="0.25">
      <c r="A191" s="57">
        <v>3302</v>
      </c>
      <c r="B191" t="s">
        <v>59</v>
      </c>
      <c r="C191" t="s">
        <v>267</v>
      </c>
      <c r="D191" s="8">
        <v>946344</v>
      </c>
      <c r="E191" s="8">
        <v>936726</v>
      </c>
      <c r="F191" s="8">
        <v>71214</v>
      </c>
      <c r="G191" s="8">
        <v>71333</v>
      </c>
      <c r="H191" s="8">
        <v>69499</v>
      </c>
      <c r="I191" s="8">
        <v>67712</v>
      </c>
      <c r="J191" s="8">
        <v>66872</v>
      </c>
      <c r="K191" s="8">
        <v>67740</v>
      </c>
      <c r="L191" s="8">
        <v>64931</v>
      </c>
      <c r="M191" s="8">
        <v>64646</v>
      </c>
      <c r="N191" s="7">
        <f t="shared" si="4"/>
        <v>101.02676769941263</v>
      </c>
      <c r="O191" s="7">
        <f t="shared" si="5"/>
        <v>105.89312953983701</v>
      </c>
    </row>
    <row r="192" spans="1:15" x14ac:dyDescent="0.25">
      <c r="A192" s="57">
        <v>3303</v>
      </c>
      <c r="B192" t="s">
        <v>59</v>
      </c>
      <c r="C192" t="s">
        <v>268</v>
      </c>
      <c r="D192" s="8">
        <v>534876</v>
      </c>
      <c r="E192" s="8">
        <v>522767</v>
      </c>
      <c r="F192" s="8">
        <v>41259</v>
      </c>
      <c r="G192" s="8">
        <v>40845</v>
      </c>
      <c r="H192" s="8">
        <v>39830</v>
      </c>
      <c r="I192" s="8">
        <v>38907</v>
      </c>
      <c r="J192" s="8">
        <v>38271</v>
      </c>
      <c r="K192" s="8">
        <v>38248</v>
      </c>
      <c r="L192" s="8">
        <v>37881</v>
      </c>
      <c r="M192" s="8">
        <v>37381</v>
      </c>
      <c r="N192" s="7">
        <f t="shared" si="4"/>
        <v>102.31632830687477</v>
      </c>
      <c r="O192" s="7">
        <f t="shared" si="5"/>
        <v>105.96912657051935</v>
      </c>
    </row>
    <row r="193" spans="1:15" x14ac:dyDescent="0.25">
      <c r="A193" s="57">
        <v>3304</v>
      </c>
      <c r="B193" t="s">
        <v>59</v>
      </c>
      <c r="C193" t="s">
        <v>269</v>
      </c>
      <c r="D193" s="8">
        <v>545863</v>
      </c>
      <c r="E193" s="8">
        <v>531472</v>
      </c>
      <c r="F193" s="8">
        <v>39852</v>
      </c>
      <c r="G193" s="8">
        <v>40510</v>
      </c>
      <c r="H193" s="8">
        <v>42897</v>
      </c>
      <c r="I193" s="8">
        <v>41420</v>
      </c>
      <c r="J193" s="8">
        <v>37750</v>
      </c>
      <c r="K193" s="8">
        <v>37204</v>
      </c>
      <c r="L193" s="8">
        <v>39741</v>
      </c>
      <c r="M193" s="8">
        <v>39292</v>
      </c>
      <c r="N193" s="7">
        <f t="shared" si="4"/>
        <v>102.70776259144414</v>
      </c>
      <c r="O193" s="7">
        <f t="shared" si="5"/>
        <v>106.94344327767928</v>
      </c>
    </row>
    <row r="194" spans="1:15" x14ac:dyDescent="0.25">
      <c r="A194" s="57">
        <v>3305</v>
      </c>
      <c r="B194" t="s">
        <v>59</v>
      </c>
      <c r="C194" t="s">
        <v>270</v>
      </c>
      <c r="D194" s="8">
        <v>734327</v>
      </c>
      <c r="E194" s="8">
        <v>714236</v>
      </c>
      <c r="F194" s="8">
        <v>55789</v>
      </c>
      <c r="G194" s="8">
        <v>61290</v>
      </c>
      <c r="H194" s="8">
        <v>60143</v>
      </c>
      <c r="I194" s="8">
        <v>56773</v>
      </c>
      <c r="J194" s="8">
        <v>52060</v>
      </c>
      <c r="K194" s="8">
        <v>55579</v>
      </c>
      <c r="L194" s="8">
        <v>53344</v>
      </c>
      <c r="M194" s="8">
        <v>52432</v>
      </c>
      <c r="N194" s="7">
        <f t="shared" si="4"/>
        <v>102.81293578033031</v>
      </c>
      <c r="O194" s="7">
        <f t="shared" si="5"/>
        <v>109.64318346882833</v>
      </c>
    </row>
    <row r="195" spans="1:15" x14ac:dyDescent="0.25">
      <c r="A195" s="57">
        <v>3306</v>
      </c>
      <c r="B195" t="s">
        <v>59</v>
      </c>
      <c r="C195" t="s">
        <v>271</v>
      </c>
      <c r="D195" s="8">
        <v>404767</v>
      </c>
      <c r="E195" s="8">
        <v>403386</v>
      </c>
      <c r="F195" s="8">
        <v>30358</v>
      </c>
      <c r="G195" s="8">
        <v>32232</v>
      </c>
      <c r="H195" s="8">
        <v>30883</v>
      </c>
      <c r="I195" s="8">
        <v>28601</v>
      </c>
      <c r="J195" s="8">
        <v>27696</v>
      </c>
      <c r="K195" s="8">
        <v>28914</v>
      </c>
      <c r="L195" s="8">
        <v>28145</v>
      </c>
      <c r="M195" s="8">
        <v>27769</v>
      </c>
      <c r="N195" s="7">
        <f t="shared" si="4"/>
        <v>100.34235199040124</v>
      </c>
      <c r="O195" s="7">
        <f t="shared" si="5"/>
        <v>108.48707831218229</v>
      </c>
    </row>
    <row r="196" spans="1:15" x14ac:dyDescent="0.25">
      <c r="A196" s="57">
        <v>3307</v>
      </c>
      <c r="B196" t="s">
        <v>59</v>
      </c>
      <c r="C196" t="s">
        <v>272</v>
      </c>
      <c r="D196" s="8">
        <v>478852</v>
      </c>
      <c r="E196" s="8">
        <v>462674</v>
      </c>
      <c r="F196" s="8">
        <v>34722</v>
      </c>
      <c r="G196" s="8">
        <v>36565</v>
      </c>
      <c r="H196" s="8">
        <v>37979</v>
      </c>
      <c r="I196" s="8">
        <v>36608</v>
      </c>
      <c r="J196" s="8">
        <v>33358</v>
      </c>
      <c r="K196" s="8">
        <v>34770</v>
      </c>
      <c r="L196" s="8">
        <v>35057</v>
      </c>
      <c r="M196" s="8">
        <v>32935</v>
      </c>
      <c r="N196" s="7">
        <f t="shared" ref="N196:N259" si="6">D196/E196*100</f>
        <v>103.49663045686597</v>
      </c>
      <c r="O196" s="7">
        <f t="shared" ref="O196:O259" si="7">SUM(F196:I196)/SUM(J196:M196)*100</f>
        <v>107.16573611519247</v>
      </c>
    </row>
    <row r="197" spans="1:15" x14ac:dyDescent="0.25">
      <c r="A197" s="57">
        <v>3308</v>
      </c>
      <c r="B197" t="s">
        <v>59</v>
      </c>
      <c r="C197" t="s">
        <v>273</v>
      </c>
      <c r="D197" s="8">
        <v>683830</v>
      </c>
      <c r="E197" s="8">
        <v>678269</v>
      </c>
      <c r="F197" s="8">
        <v>50060</v>
      </c>
      <c r="G197" s="8">
        <v>52014</v>
      </c>
      <c r="H197" s="8">
        <v>51301</v>
      </c>
      <c r="I197" s="8">
        <v>48940</v>
      </c>
      <c r="J197" s="8">
        <v>47523</v>
      </c>
      <c r="K197" s="8">
        <v>49322</v>
      </c>
      <c r="L197" s="8">
        <v>49071</v>
      </c>
      <c r="M197" s="8">
        <v>46565</v>
      </c>
      <c r="N197" s="7">
        <f t="shared" si="6"/>
        <v>100.81988119757794</v>
      </c>
      <c r="O197" s="7">
        <f t="shared" si="7"/>
        <v>105.10907570097827</v>
      </c>
    </row>
    <row r="198" spans="1:15" x14ac:dyDescent="0.25">
      <c r="A198" s="57">
        <v>3309</v>
      </c>
      <c r="B198" t="s">
        <v>59</v>
      </c>
      <c r="C198" t="s">
        <v>274</v>
      </c>
      <c r="D198" s="8">
        <v>561136</v>
      </c>
      <c r="E198" s="8">
        <v>557421</v>
      </c>
      <c r="F198" s="8">
        <v>41780</v>
      </c>
      <c r="G198" s="8">
        <v>42269</v>
      </c>
      <c r="H198" s="8">
        <v>40810</v>
      </c>
      <c r="I198" s="8">
        <v>40115</v>
      </c>
      <c r="J198" s="8">
        <v>39417</v>
      </c>
      <c r="K198" s="8">
        <v>39926</v>
      </c>
      <c r="L198" s="8">
        <v>39719</v>
      </c>
      <c r="M198" s="8">
        <v>40033</v>
      </c>
      <c r="N198" s="7">
        <f t="shared" si="6"/>
        <v>100.66646215338137</v>
      </c>
      <c r="O198" s="7">
        <f t="shared" si="7"/>
        <v>103.6952764071781</v>
      </c>
    </row>
    <row r="199" spans="1:15" x14ac:dyDescent="0.25">
      <c r="A199" s="57">
        <v>3310</v>
      </c>
      <c r="B199" t="s">
        <v>59</v>
      </c>
      <c r="C199" t="s">
        <v>275</v>
      </c>
      <c r="D199" s="8">
        <v>650745</v>
      </c>
      <c r="E199" s="8">
        <v>658030</v>
      </c>
      <c r="F199" s="8">
        <v>48799</v>
      </c>
      <c r="G199" s="8">
        <v>46869</v>
      </c>
      <c r="H199" s="8">
        <v>45348</v>
      </c>
      <c r="I199" s="8">
        <v>45332</v>
      </c>
      <c r="J199" s="8">
        <v>45442</v>
      </c>
      <c r="K199" s="8">
        <v>44133</v>
      </c>
      <c r="L199" s="8">
        <v>43907</v>
      </c>
      <c r="M199" s="8">
        <v>45590</v>
      </c>
      <c r="N199" s="7">
        <f t="shared" si="6"/>
        <v>98.892907618193703</v>
      </c>
      <c r="O199" s="7">
        <f t="shared" si="7"/>
        <v>104.06317012151536</v>
      </c>
    </row>
    <row r="200" spans="1:15" x14ac:dyDescent="0.25">
      <c r="A200" s="57">
        <v>3311</v>
      </c>
      <c r="B200" t="s">
        <v>59</v>
      </c>
      <c r="C200" t="s">
        <v>276</v>
      </c>
      <c r="D200" s="8">
        <v>478778</v>
      </c>
      <c r="E200" s="8">
        <v>480240</v>
      </c>
      <c r="F200" s="8">
        <v>36561</v>
      </c>
      <c r="G200" s="8">
        <v>34939</v>
      </c>
      <c r="H200" s="8">
        <v>34625</v>
      </c>
      <c r="I200" s="8">
        <v>33929</v>
      </c>
      <c r="J200" s="8">
        <v>34636</v>
      </c>
      <c r="K200" s="8">
        <v>33415</v>
      </c>
      <c r="L200" s="8">
        <v>33860</v>
      </c>
      <c r="M200" s="8">
        <v>33451</v>
      </c>
      <c r="N200" s="7">
        <f t="shared" si="6"/>
        <v>99.695568882225544</v>
      </c>
      <c r="O200" s="7">
        <f t="shared" si="7"/>
        <v>103.46626084129961</v>
      </c>
    </row>
    <row r="201" spans="1:15" x14ac:dyDescent="0.25">
      <c r="A201" s="57">
        <v>3312</v>
      </c>
      <c r="B201" t="s">
        <v>59</v>
      </c>
      <c r="C201" t="s">
        <v>277</v>
      </c>
      <c r="D201" s="8">
        <v>528328</v>
      </c>
      <c r="E201" s="8">
        <v>531438</v>
      </c>
      <c r="F201" s="8">
        <v>39627</v>
      </c>
      <c r="G201" s="8">
        <v>40288</v>
      </c>
      <c r="H201" s="8">
        <v>37333</v>
      </c>
      <c r="I201" s="8">
        <v>34460</v>
      </c>
      <c r="J201" s="8">
        <v>36712</v>
      </c>
      <c r="K201" s="8">
        <v>36486</v>
      </c>
      <c r="L201" s="8">
        <v>34262</v>
      </c>
      <c r="M201" s="8">
        <v>33154</v>
      </c>
      <c r="N201" s="7">
        <f t="shared" si="6"/>
        <v>99.41479532890007</v>
      </c>
      <c r="O201" s="7">
        <f t="shared" si="7"/>
        <v>107.88968381526733</v>
      </c>
    </row>
    <row r="202" spans="1:15" x14ac:dyDescent="0.25">
      <c r="A202" s="57">
        <v>3313</v>
      </c>
      <c r="B202" t="s">
        <v>59</v>
      </c>
      <c r="C202" t="s">
        <v>278</v>
      </c>
      <c r="D202" s="8">
        <v>485389</v>
      </c>
      <c r="E202" s="8">
        <v>489436</v>
      </c>
      <c r="F202" s="8">
        <v>35914</v>
      </c>
      <c r="G202" s="8">
        <v>34535</v>
      </c>
      <c r="H202" s="8">
        <v>34061</v>
      </c>
      <c r="I202" s="8">
        <v>33847</v>
      </c>
      <c r="J202" s="8">
        <v>33875</v>
      </c>
      <c r="K202" s="8">
        <v>33193</v>
      </c>
      <c r="L202" s="8">
        <v>33907</v>
      </c>
      <c r="M202" s="8">
        <v>34223</v>
      </c>
      <c r="N202" s="7">
        <f t="shared" si="6"/>
        <v>99.173129888279561</v>
      </c>
      <c r="O202" s="7">
        <f t="shared" si="7"/>
        <v>102.33657302622821</v>
      </c>
    </row>
    <row r="203" spans="1:15" x14ac:dyDescent="0.25">
      <c r="A203" s="57">
        <v>3314</v>
      </c>
      <c r="B203" t="s">
        <v>59</v>
      </c>
      <c r="C203" t="s">
        <v>279</v>
      </c>
      <c r="D203" s="8">
        <v>507178</v>
      </c>
      <c r="E203" s="8">
        <v>511479</v>
      </c>
      <c r="F203" s="8">
        <v>38396</v>
      </c>
      <c r="G203" s="8">
        <v>36702</v>
      </c>
      <c r="H203" s="8">
        <v>35290</v>
      </c>
      <c r="I203" s="8">
        <v>34781</v>
      </c>
      <c r="J203" s="8">
        <v>35744</v>
      </c>
      <c r="K203" s="8">
        <v>35017</v>
      </c>
      <c r="L203" s="8">
        <v>33815</v>
      </c>
      <c r="M203" s="8">
        <v>34524</v>
      </c>
      <c r="N203" s="7">
        <f t="shared" si="6"/>
        <v>99.159105261408584</v>
      </c>
      <c r="O203" s="7">
        <f t="shared" si="7"/>
        <v>104.36304816678647</v>
      </c>
    </row>
    <row r="204" spans="1:15" x14ac:dyDescent="0.25">
      <c r="A204" s="57">
        <v>3315</v>
      </c>
      <c r="B204" t="s">
        <v>59</v>
      </c>
      <c r="C204" t="s">
        <v>280</v>
      </c>
      <c r="D204" s="8">
        <v>767709</v>
      </c>
      <c r="E204" s="8">
        <v>764154</v>
      </c>
      <c r="F204" s="8">
        <v>56810</v>
      </c>
      <c r="G204" s="8">
        <v>59469</v>
      </c>
      <c r="H204" s="8">
        <v>59111</v>
      </c>
      <c r="I204" s="8">
        <v>59874</v>
      </c>
      <c r="J204" s="8">
        <v>53490</v>
      </c>
      <c r="K204" s="8">
        <v>56199</v>
      </c>
      <c r="L204" s="8">
        <v>55795</v>
      </c>
      <c r="M204" s="8">
        <v>57234</v>
      </c>
      <c r="N204" s="7">
        <f t="shared" si="6"/>
        <v>100.46522036134078</v>
      </c>
      <c r="O204" s="7">
        <f t="shared" si="7"/>
        <v>105.6331324814339</v>
      </c>
    </row>
    <row r="205" spans="1:15" x14ac:dyDescent="0.25">
      <c r="A205" s="57">
        <v>3316</v>
      </c>
      <c r="B205" t="s">
        <v>59</v>
      </c>
      <c r="C205" t="s">
        <v>281</v>
      </c>
      <c r="D205" s="8">
        <v>459802</v>
      </c>
      <c r="E205" s="8">
        <v>460302</v>
      </c>
      <c r="F205" s="8">
        <v>34994</v>
      </c>
      <c r="G205" s="8">
        <v>34722</v>
      </c>
      <c r="H205" s="8">
        <v>33413</v>
      </c>
      <c r="I205" s="8">
        <v>33024</v>
      </c>
      <c r="J205" s="8">
        <v>32778</v>
      </c>
      <c r="K205" s="8">
        <v>32473</v>
      </c>
      <c r="L205" s="8">
        <v>31970</v>
      </c>
      <c r="M205" s="8">
        <v>32813</v>
      </c>
      <c r="N205" s="7">
        <f t="shared" si="6"/>
        <v>99.891375662065343</v>
      </c>
      <c r="O205" s="7">
        <f t="shared" si="7"/>
        <v>104.70569235738346</v>
      </c>
    </row>
    <row r="206" spans="1:15" x14ac:dyDescent="0.25">
      <c r="A206" s="57">
        <v>3317</v>
      </c>
      <c r="B206" t="s">
        <v>59</v>
      </c>
      <c r="C206" t="s">
        <v>282</v>
      </c>
      <c r="D206" s="8">
        <v>338760</v>
      </c>
      <c r="E206" s="8">
        <v>335957</v>
      </c>
      <c r="F206" s="8">
        <v>24968</v>
      </c>
      <c r="G206" s="8">
        <v>25223</v>
      </c>
      <c r="H206" s="8">
        <v>25087</v>
      </c>
      <c r="I206" s="8">
        <v>25512</v>
      </c>
      <c r="J206" s="8">
        <v>23274</v>
      </c>
      <c r="K206" s="8">
        <v>23763</v>
      </c>
      <c r="L206" s="8">
        <v>24249</v>
      </c>
      <c r="M206" s="8">
        <v>25694</v>
      </c>
      <c r="N206" s="7">
        <f t="shared" si="6"/>
        <v>100.83433296523067</v>
      </c>
      <c r="O206" s="7">
        <f t="shared" si="7"/>
        <v>103.92864508146009</v>
      </c>
    </row>
    <row r="207" spans="1:15" x14ac:dyDescent="0.25">
      <c r="A207" s="57">
        <v>3318</v>
      </c>
      <c r="B207" t="s">
        <v>59</v>
      </c>
      <c r="C207" t="s">
        <v>283</v>
      </c>
      <c r="D207" s="8">
        <v>695401</v>
      </c>
      <c r="E207" s="8">
        <v>697202</v>
      </c>
      <c r="F207" s="8">
        <v>50106</v>
      </c>
      <c r="G207" s="8">
        <v>51640</v>
      </c>
      <c r="H207" s="8">
        <v>52062</v>
      </c>
      <c r="I207" s="8">
        <v>51390</v>
      </c>
      <c r="J207" s="8">
        <v>47619</v>
      </c>
      <c r="K207" s="8">
        <v>49396</v>
      </c>
      <c r="L207" s="8">
        <v>50493</v>
      </c>
      <c r="M207" s="8">
        <v>51015</v>
      </c>
      <c r="N207" s="7">
        <f t="shared" si="6"/>
        <v>99.741681750769501</v>
      </c>
      <c r="O207" s="7">
        <f t="shared" si="7"/>
        <v>103.36233081305441</v>
      </c>
    </row>
    <row r="208" spans="1:15" x14ac:dyDescent="0.25">
      <c r="A208" s="57">
        <v>3319</v>
      </c>
      <c r="B208" t="s">
        <v>59</v>
      </c>
      <c r="C208" t="s">
        <v>284</v>
      </c>
      <c r="D208" s="8">
        <v>448370</v>
      </c>
      <c r="E208" s="8">
        <v>451462</v>
      </c>
      <c r="F208" s="8">
        <v>34090</v>
      </c>
      <c r="G208" s="8">
        <v>33408</v>
      </c>
      <c r="H208" s="8">
        <v>33380</v>
      </c>
      <c r="I208" s="8">
        <v>35252</v>
      </c>
      <c r="J208" s="8">
        <v>32485</v>
      </c>
      <c r="K208" s="8">
        <v>32222</v>
      </c>
      <c r="L208" s="8">
        <v>32744</v>
      </c>
      <c r="M208" s="8">
        <v>34280</v>
      </c>
      <c r="N208" s="7">
        <f t="shared" si="6"/>
        <v>99.315114007380473</v>
      </c>
      <c r="O208" s="7">
        <f t="shared" si="7"/>
        <v>103.33938101130333</v>
      </c>
    </row>
    <row r="209" spans="1:15" x14ac:dyDescent="0.25">
      <c r="A209" s="57">
        <v>3320</v>
      </c>
      <c r="B209" t="s">
        <v>59</v>
      </c>
      <c r="C209" t="s">
        <v>285</v>
      </c>
      <c r="D209" s="8">
        <v>630960</v>
      </c>
      <c r="E209" s="8">
        <v>624416</v>
      </c>
      <c r="F209" s="8">
        <v>47989</v>
      </c>
      <c r="G209" s="8">
        <v>48341</v>
      </c>
      <c r="H209" s="8">
        <v>48337</v>
      </c>
      <c r="I209" s="8">
        <v>48758</v>
      </c>
      <c r="J209" s="8">
        <v>45603</v>
      </c>
      <c r="K209" s="8">
        <v>46522</v>
      </c>
      <c r="L209" s="8">
        <v>46807</v>
      </c>
      <c r="M209" s="8">
        <v>47918</v>
      </c>
      <c r="N209" s="7">
        <f t="shared" si="6"/>
        <v>101.04801926920514</v>
      </c>
      <c r="O209" s="7">
        <f t="shared" si="7"/>
        <v>103.51886540005353</v>
      </c>
    </row>
    <row r="210" spans="1:15" x14ac:dyDescent="0.25">
      <c r="A210" s="57">
        <v>3321</v>
      </c>
      <c r="B210" t="s">
        <v>59</v>
      </c>
      <c r="C210" t="s">
        <v>286</v>
      </c>
      <c r="D210" s="8">
        <v>643586</v>
      </c>
      <c r="E210" s="8">
        <v>633097</v>
      </c>
      <c r="F210" s="8">
        <v>48992</v>
      </c>
      <c r="G210" s="8">
        <v>50891</v>
      </c>
      <c r="H210" s="8">
        <v>52459</v>
      </c>
      <c r="I210" s="8">
        <v>52693</v>
      </c>
      <c r="J210" s="8">
        <v>45707</v>
      </c>
      <c r="K210" s="8">
        <v>47703</v>
      </c>
      <c r="L210" s="8">
        <v>49142</v>
      </c>
      <c r="M210" s="8">
        <v>49774</v>
      </c>
      <c r="N210" s="7">
        <f t="shared" si="6"/>
        <v>101.65677613383099</v>
      </c>
      <c r="O210" s="7">
        <f t="shared" si="7"/>
        <v>106.60805091355303</v>
      </c>
    </row>
    <row r="211" spans="1:15" x14ac:dyDescent="0.25">
      <c r="A211" s="57">
        <v>3322</v>
      </c>
      <c r="B211" t="s">
        <v>59</v>
      </c>
      <c r="C211" t="s">
        <v>287</v>
      </c>
      <c r="D211" s="8">
        <v>550382</v>
      </c>
      <c r="E211" s="8">
        <v>556672</v>
      </c>
      <c r="F211" s="8">
        <v>41102</v>
      </c>
      <c r="G211" s="8">
        <v>40845</v>
      </c>
      <c r="H211" s="8">
        <v>40408</v>
      </c>
      <c r="I211" s="8">
        <v>40870</v>
      </c>
      <c r="J211" s="8">
        <v>39114</v>
      </c>
      <c r="K211" s="8">
        <v>41950</v>
      </c>
      <c r="L211" s="8">
        <v>41317</v>
      </c>
      <c r="M211" s="8">
        <v>40942</v>
      </c>
      <c r="N211" s="7">
        <f t="shared" si="6"/>
        <v>98.870070705909413</v>
      </c>
      <c r="O211" s="7">
        <f t="shared" si="7"/>
        <v>99.93999620384146</v>
      </c>
    </row>
    <row r="212" spans="1:15" x14ac:dyDescent="0.25">
      <c r="A212" s="57">
        <v>3323</v>
      </c>
      <c r="B212" t="s">
        <v>59</v>
      </c>
      <c r="C212" t="s">
        <v>288</v>
      </c>
      <c r="D212" s="8">
        <v>414792</v>
      </c>
      <c r="E212" s="8">
        <v>412340</v>
      </c>
      <c r="F212" s="8">
        <v>30332</v>
      </c>
      <c r="G212" s="8">
        <v>30158</v>
      </c>
      <c r="H212" s="8">
        <v>29435</v>
      </c>
      <c r="I212" s="8">
        <v>29934</v>
      </c>
      <c r="J212" s="8">
        <v>28905</v>
      </c>
      <c r="K212" s="8">
        <v>28298</v>
      </c>
      <c r="L212" s="8">
        <v>28720</v>
      </c>
      <c r="M212" s="8">
        <v>28805</v>
      </c>
      <c r="N212" s="7">
        <f t="shared" si="6"/>
        <v>100.59465489644468</v>
      </c>
      <c r="O212" s="7">
        <f t="shared" si="7"/>
        <v>104.47231713269647</v>
      </c>
    </row>
    <row r="213" spans="1:15" x14ac:dyDescent="0.25">
      <c r="A213" s="57">
        <v>3324</v>
      </c>
      <c r="B213" t="s">
        <v>59</v>
      </c>
      <c r="C213" t="s">
        <v>289</v>
      </c>
      <c r="D213" s="8">
        <v>547190</v>
      </c>
      <c r="E213" s="8">
        <v>540619</v>
      </c>
      <c r="F213" s="8">
        <v>40442</v>
      </c>
      <c r="G213" s="8">
        <v>40664</v>
      </c>
      <c r="H213" s="8">
        <v>42986</v>
      </c>
      <c r="I213" s="8">
        <v>45266</v>
      </c>
      <c r="J213" s="8">
        <v>37989</v>
      </c>
      <c r="K213" s="8">
        <v>38745</v>
      </c>
      <c r="L213" s="8">
        <v>41553</v>
      </c>
      <c r="M213" s="8">
        <v>43213</v>
      </c>
      <c r="N213" s="7">
        <f t="shared" si="6"/>
        <v>101.21545857618766</v>
      </c>
      <c r="O213" s="7">
        <f t="shared" si="7"/>
        <v>104.8656346749226</v>
      </c>
    </row>
    <row r="214" spans="1:15" x14ac:dyDescent="0.25">
      <c r="A214" s="57">
        <v>3325</v>
      </c>
      <c r="B214" t="s">
        <v>59</v>
      </c>
      <c r="C214" t="s">
        <v>290</v>
      </c>
      <c r="D214" s="8">
        <v>430576</v>
      </c>
      <c r="E214" s="8">
        <v>425266</v>
      </c>
      <c r="F214" s="8">
        <v>31248</v>
      </c>
      <c r="G214" s="8">
        <v>32284</v>
      </c>
      <c r="H214" s="8">
        <v>34278</v>
      </c>
      <c r="I214" s="8">
        <v>34903</v>
      </c>
      <c r="J214" s="8">
        <v>29770</v>
      </c>
      <c r="K214" s="8">
        <v>31112</v>
      </c>
      <c r="L214" s="8">
        <v>33098</v>
      </c>
      <c r="M214" s="8">
        <v>34202</v>
      </c>
      <c r="N214" s="7">
        <f t="shared" si="6"/>
        <v>101.24863026905513</v>
      </c>
      <c r="O214" s="7">
        <f t="shared" si="7"/>
        <v>103.53481768110969</v>
      </c>
    </row>
    <row r="215" spans="1:15" x14ac:dyDescent="0.25">
      <c r="A215" s="57">
        <v>3326</v>
      </c>
      <c r="B215" t="s">
        <v>59</v>
      </c>
      <c r="C215" t="s">
        <v>291</v>
      </c>
      <c r="D215" s="8">
        <v>529184</v>
      </c>
      <c r="E215" s="8">
        <v>512151</v>
      </c>
      <c r="F215" s="8">
        <v>39383</v>
      </c>
      <c r="G215" s="8">
        <v>42327</v>
      </c>
      <c r="H215" s="8">
        <v>45184</v>
      </c>
      <c r="I215" s="8">
        <v>43691</v>
      </c>
      <c r="J215" s="8">
        <v>37388</v>
      </c>
      <c r="K215" s="8">
        <v>40084</v>
      </c>
      <c r="L215" s="8">
        <v>40938</v>
      </c>
      <c r="M215" s="8">
        <v>39183</v>
      </c>
      <c r="N215" s="7">
        <f t="shared" si="6"/>
        <v>103.32577696812073</v>
      </c>
      <c r="O215" s="7">
        <f t="shared" si="7"/>
        <v>108.24402099078006</v>
      </c>
    </row>
    <row r="216" spans="1:15" x14ac:dyDescent="0.25">
      <c r="A216" s="57">
        <v>3327</v>
      </c>
      <c r="B216" t="s">
        <v>59</v>
      </c>
      <c r="C216" t="s">
        <v>292</v>
      </c>
      <c r="D216" s="8">
        <v>797918</v>
      </c>
      <c r="E216" s="8">
        <v>778502</v>
      </c>
      <c r="F216" s="8">
        <v>60443</v>
      </c>
      <c r="G216" s="8">
        <v>65877</v>
      </c>
      <c r="H216" s="8">
        <v>66947</v>
      </c>
      <c r="I216" s="8">
        <v>64326</v>
      </c>
      <c r="J216" s="8">
        <v>56667</v>
      </c>
      <c r="K216" s="8">
        <v>61378</v>
      </c>
      <c r="L216" s="8">
        <v>62795</v>
      </c>
      <c r="M216" s="8">
        <v>59219</v>
      </c>
      <c r="N216" s="7">
        <f t="shared" si="6"/>
        <v>102.49402056770566</v>
      </c>
      <c r="O216" s="7">
        <f t="shared" si="7"/>
        <v>107.30403775738463</v>
      </c>
    </row>
    <row r="217" spans="1:15" x14ac:dyDescent="0.25">
      <c r="A217" s="57">
        <v>3328</v>
      </c>
      <c r="B217" t="s">
        <v>59</v>
      </c>
      <c r="C217" t="s">
        <v>293</v>
      </c>
      <c r="D217" s="8">
        <v>867481</v>
      </c>
      <c r="E217" s="8">
        <v>845609</v>
      </c>
      <c r="F217" s="8">
        <v>63019</v>
      </c>
      <c r="G217" s="8">
        <v>68988</v>
      </c>
      <c r="H217" s="8">
        <v>68960</v>
      </c>
      <c r="I217" s="8">
        <v>68377</v>
      </c>
      <c r="J217" s="8">
        <v>60489</v>
      </c>
      <c r="K217" s="8">
        <v>64150</v>
      </c>
      <c r="L217" s="8">
        <v>64465</v>
      </c>
      <c r="M217" s="8">
        <v>64921</v>
      </c>
      <c r="N217" s="7">
        <f t="shared" si="6"/>
        <v>102.58653822274835</v>
      </c>
      <c r="O217" s="7">
        <f t="shared" si="7"/>
        <v>106.03050880818816</v>
      </c>
    </row>
    <row r="218" spans="1:15" x14ac:dyDescent="0.25">
      <c r="A218" s="57">
        <v>3329</v>
      </c>
      <c r="B218" t="s">
        <v>59</v>
      </c>
      <c r="C218" t="s">
        <v>294</v>
      </c>
      <c r="D218" s="8">
        <v>1068401</v>
      </c>
      <c r="E218" s="8">
        <v>1040101</v>
      </c>
      <c r="F218" s="8">
        <v>79255</v>
      </c>
      <c r="G218" s="8">
        <v>85920</v>
      </c>
      <c r="H218" s="8">
        <v>90340</v>
      </c>
      <c r="I218" s="8">
        <v>88934</v>
      </c>
      <c r="J218" s="8">
        <v>75411</v>
      </c>
      <c r="K218" s="8">
        <v>79662</v>
      </c>
      <c r="L218" s="8">
        <v>83082</v>
      </c>
      <c r="M218" s="8">
        <v>83146</v>
      </c>
      <c r="N218" s="7">
        <f t="shared" si="6"/>
        <v>102.72088960591329</v>
      </c>
      <c r="O218" s="7">
        <f t="shared" si="7"/>
        <v>107.20445936987434</v>
      </c>
    </row>
    <row r="219" spans="1:15" x14ac:dyDescent="0.25">
      <c r="A219" s="57">
        <v>3371</v>
      </c>
      <c r="B219" t="s">
        <v>59</v>
      </c>
      <c r="C219" t="s">
        <v>295</v>
      </c>
      <c r="D219" s="8">
        <v>61003</v>
      </c>
      <c r="E219" s="8">
        <v>61900</v>
      </c>
      <c r="F219" s="8">
        <v>4996</v>
      </c>
      <c r="G219" s="8">
        <v>5364</v>
      </c>
      <c r="H219" s="8">
        <v>4656</v>
      </c>
      <c r="I219" s="8">
        <v>3912</v>
      </c>
      <c r="J219" s="8">
        <v>4733</v>
      </c>
      <c r="K219" s="8">
        <v>4810</v>
      </c>
      <c r="L219" s="8">
        <v>4246</v>
      </c>
      <c r="M219" s="8">
        <v>3801</v>
      </c>
      <c r="N219" s="7">
        <f t="shared" si="6"/>
        <v>98.550888529886919</v>
      </c>
      <c r="O219" s="7">
        <f t="shared" si="7"/>
        <v>107.60659465605458</v>
      </c>
    </row>
    <row r="220" spans="1:15" x14ac:dyDescent="0.25">
      <c r="A220" s="57">
        <v>3372</v>
      </c>
      <c r="B220" t="s">
        <v>59</v>
      </c>
      <c r="C220" t="s">
        <v>296</v>
      </c>
      <c r="D220" s="8">
        <v>260747</v>
      </c>
      <c r="E220" s="8">
        <v>269219</v>
      </c>
      <c r="F220" s="8">
        <v>20843</v>
      </c>
      <c r="G220" s="8">
        <v>20059</v>
      </c>
      <c r="H220" s="8">
        <v>19075</v>
      </c>
      <c r="I220" s="8">
        <v>18477</v>
      </c>
      <c r="J220" s="8">
        <v>19933</v>
      </c>
      <c r="K220" s="8">
        <v>19548</v>
      </c>
      <c r="L220" s="8">
        <v>18699</v>
      </c>
      <c r="M220" s="8">
        <v>18137</v>
      </c>
      <c r="N220" s="7">
        <f t="shared" si="6"/>
        <v>96.853119579227325</v>
      </c>
      <c r="O220" s="7">
        <f t="shared" si="7"/>
        <v>102.80016248018136</v>
      </c>
    </row>
    <row r="221" spans="1:15" x14ac:dyDescent="0.25">
      <c r="A221" s="57">
        <v>3373</v>
      </c>
      <c r="B221" t="s">
        <v>59</v>
      </c>
      <c r="C221" t="s">
        <v>297</v>
      </c>
      <c r="D221" s="8">
        <v>101565</v>
      </c>
      <c r="E221" s="8">
        <v>104256</v>
      </c>
      <c r="F221" s="8">
        <v>7904</v>
      </c>
      <c r="G221" s="8">
        <v>7844</v>
      </c>
      <c r="H221" s="8">
        <v>7565</v>
      </c>
      <c r="I221" s="8">
        <v>7294</v>
      </c>
      <c r="J221" s="8">
        <v>7734</v>
      </c>
      <c r="K221" s="8">
        <v>7882</v>
      </c>
      <c r="L221" s="8">
        <v>7412</v>
      </c>
      <c r="M221" s="8">
        <v>7414</v>
      </c>
      <c r="N221" s="7">
        <f t="shared" si="6"/>
        <v>97.418853591160229</v>
      </c>
      <c r="O221" s="7">
        <f t="shared" si="7"/>
        <v>100.54201432231784</v>
      </c>
    </row>
    <row r="222" spans="1:15" x14ac:dyDescent="0.25">
      <c r="A222" s="57">
        <v>3374</v>
      </c>
      <c r="B222" t="s">
        <v>59</v>
      </c>
      <c r="C222" t="s">
        <v>298</v>
      </c>
      <c r="D222" s="8">
        <v>857797</v>
      </c>
      <c r="E222" s="8">
        <v>877706</v>
      </c>
      <c r="F222" s="8">
        <v>66840</v>
      </c>
      <c r="G222" s="8">
        <v>64684</v>
      </c>
      <c r="H222" s="8">
        <v>64335</v>
      </c>
      <c r="I222" s="8">
        <v>65409</v>
      </c>
      <c r="J222" s="8">
        <v>63491</v>
      </c>
      <c r="K222" s="8">
        <v>62703</v>
      </c>
      <c r="L222" s="8">
        <v>64634</v>
      </c>
      <c r="M222" s="8">
        <v>66216</v>
      </c>
      <c r="N222" s="7">
        <f t="shared" si="6"/>
        <v>97.73170059222565</v>
      </c>
      <c r="O222" s="7">
        <f t="shared" si="7"/>
        <v>101.64329842361619</v>
      </c>
    </row>
    <row r="223" spans="1:15" x14ac:dyDescent="0.25">
      <c r="A223" s="57">
        <v>3375</v>
      </c>
      <c r="B223" t="s">
        <v>59</v>
      </c>
      <c r="C223" t="s">
        <v>299</v>
      </c>
      <c r="D223" s="8">
        <v>165538</v>
      </c>
      <c r="E223" s="8">
        <v>162391</v>
      </c>
      <c r="F223" s="8">
        <v>12969</v>
      </c>
      <c r="G223" s="8">
        <v>13033</v>
      </c>
      <c r="H223" s="8">
        <v>13360</v>
      </c>
      <c r="I223" s="8">
        <v>13260</v>
      </c>
      <c r="J223" s="8">
        <v>12081</v>
      </c>
      <c r="K223" s="8">
        <v>12299</v>
      </c>
      <c r="L223" s="8">
        <v>12202</v>
      </c>
      <c r="M223" s="8">
        <v>11995</v>
      </c>
      <c r="N223" s="7">
        <f t="shared" si="6"/>
        <v>101.93791527855606</v>
      </c>
      <c r="O223" s="7">
        <f t="shared" si="7"/>
        <v>108.32698602219158</v>
      </c>
    </row>
    <row r="224" spans="1:15" x14ac:dyDescent="0.25">
      <c r="A224" s="57">
        <v>3376</v>
      </c>
      <c r="B224" t="s">
        <v>59</v>
      </c>
      <c r="C224" t="s">
        <v>300</v>
      </c>
      <c r="D224" s="8">
        <v>146914</v>
      </c>
      <c r="E224" s="8">
        <v>144773</v>
      </c>
      <c r="F224" s="8">
        <v>11189</v>
      </c>
      <c r="G224" s="8">
        <v>11188</v>
      </c>
      <c r="H224" s="8">
        <v>11308</v>
      </c>
      <c r="I224" s="8">
        <v>11191</v>
      </c>
      <c r="J224" s="8">
        <v>10572</v>
      </c>
      <c r="K224" s="8">
        <v>10568</v>
      </c>
      <c r="L224" s="8">
        <v>10644</v>
      </c>
      <c r="M224" s="8">
        <v>10402</v>
      </c>
      <c r="N224" s="7">
        <f t="shared" si="6"/>
        <v>101.47886691579231</v>
      </c>
      <c r="O224" s="7">
        <f t="shared" si="7"/>
        <v>106.37652301711469</v>
      </c>
    </row>
    <row r="225" spans="1:15" x14ac:dyDescent="0.25">
      <c r="A225" s="57">
        <v>3401</v>
      </c>
      <c r="B225" t="s">
        <v>301</v>
      </c>
      <c r="C225" t="s">
        <v>302</v>
      </c>
      <c r="D225" s="8">
        <v>222565</v>
      </c>
      <c r="E225" s="8">
        <v>226936</v>
      </c>
      <c r="F225" s="8">
        <v>16012</v>
      </c>
      <c r="G225" s="8">
        <v>16109</v>
      </c>
      <c r="H225" s="8">
        <v>15806</v>
      </c>
      <c r="I225" s="8">
        <v>15129</v>
      </c>
      <c r="J225" s="8">
        <v>15229</v>
      </c>
      <c r="K225" s="8">
        <v>15291</v>
      </c>
      <c r="L225" s="8">
        <v>15295</v>
      </c>
      <c r="M225" s="8">
        <v>14888</v>
      </c>
      <c r="N225" s="7">
        <f t="shared" si="6"/>
        <v>98.073906299573437</v>
      </c>
      <c r="O225" s="7">
        <f t="shared" si="7"/>
        <v>103.87624993822382</v>
      </c>
    </row>
    <row r="226" spans="1:15" x14ac:dyDescent="0.25">
      <c r="A226" s="57">
        <v>3402</v>
      </c>
      <c r="B226" t="s">
        <v>301</v>
      </c>
      <c r="C226" t="s">
        <v>303</v>
      </c>
      <c r="D226" s="8">
        <v>513448</v>
      </c>
      <c r="E226" s="8">
        <v>520017</v>
      </c>
      <c r="F226" s="8">
        <v>37341</v>
      </c>
      <c r="G226" s="8">
        <v>35719</v>
      </c>
      <c r="H226" s="8">
        <v>36056</v>
      </c>
      <c r="I226" s="8">
        <v>38468</v>
      </c>
      <c r="J226" s="8">
        <v>35303</v>
      </c>
      <c r="K226" s="8">
        <v>35361</v>
      </c>
      <c r="L226" s="8">
        <v>36579</v>
      </c>
      <c r="M226" s="8">
        <v>38165</v>
      </c>
      <c r="N226" s="7">
        <f t="shared" si="6"/>
        <v>98.736772067067037</v>
      </c>
      <c r="O226" s="7">
        <f t="shared" si="7"/>
        <v>101.49647887323943</v>
      </c>
    </row>
    <row r="227" spans="1:15" x14ac:dyDescent="0.25">
      <c r="A227" s="57">
        <v>3403</v>
      </c>
      <c r="B227" t="s">
        <v>301</v>
      </c>
      <c r="C227" t="s">
        <v>304</v>
      </c>
      <c r="D227" s="8">
        <v>372515</v>
      </c>
      <c r="E227" s="8">
        <v>381541</v>
      </c>
      <c r="F227" s="8">
        <v>25670</v>
      </c>
      <c r="G227" s="8">
        <v>25369</v>
      </c>
      <c r="H227" s="8">
        <v>26326</v>
      </c>
      <c r="I227" s="8">
        <v>25328</v>
      </c>
      <c r="J227" s="8">
        <v>24165</v>
      </c>
      <c r="K227" s="8">
        <v>23625</v>
      </c>
      <c r="L227" s="8">
        <v>24910</v>
      </c>
      <c r="M227" s="8">
        <v>24490</v>
      </c>
      <c r="N227" s="7">
        <f t="shared" si="6"/>
        <v>97.634330255464036</v>
      </c>
      <c r="O227" s="7">
        <f t="shared" si="7"/>
        <v>105.66210515485133</v>
      </c>
    </row>
    <row r="228" spans="1:15" x14ac:dyDescent="0.25">
      <c r="A228" s="57">
        <v>3404</v>
      </c>
      <c r="B228" t="s">
        <v>301</v>
      </c>
      <c r="C228" t="s">
        <v>305</v>
      </c>
      <c r="D228" s="8">
        <v>588607</v>
      </c>
      <c r="E228" s="8">
        <v>601427</v>
      </c>
      <c r="F228" s="8">
        <v>44779</v>
      </c>
      <c r="G228" s="8">
        <v>46134</v>
      </c>
      <c r="H228" s="8">
        <v>42904</v>
      </c>
      <c r="I228" s="8">
        <v>42578</v>
      </c>
      <c r="J228" s="8">
        <v>43351</v>
      </c>
      <c r="K228" s="8">
        <v>44632</v>
      </c>
      <c r="L228" s="8">
        <v>42327</v>
      </c>
      <c r="M228" s="8">
        <v>43045</v>
      </c>
      <c r="N228" s="7">
        <f t="shared" si="6"/>
        <v>97.868402981575485</v>
      </c>
      <c r="O228" s="7">
        <f t="shared" si="7"/>
        <v>101.75362695047734</v>
      </c>
    </row>
    <row r="229" spans="1:15" x14ac:dyDescent="0.25">
      <c r="A229" s="57">
        <v>3471</v>
      </c>
      <c r="B229" t="s">
        <v>301</v>
      </c>
      <c r="C229" t="s">
        <v>306</v>
      </c>
      <c r="D229" s="8">
        <v>182541</v>
      </c>
      <c r="E229" s="8">
        <v>193119</v>
      </c>
      <c r="F229" s="8">
        <v>14407</v>
      </c>
      <c r="G229" s="8">
        <v>15093</v>
      </c>
      <c r="H229" s="8">
        <v>13914</v>
      </c>
      <c r="I229" s="8">
        <v>13304</v>
      </c>
      <c r="J229" s="8">
        <v>14291</v>
      </c>
      <c r="K229" s="8">
        <v>15533</v>
      </c>
      <c r="L229" s="8">
        <v>13576</v>
      </c>
      <c r="M229" s="8">
        <v>13317</v>
      </c>
      <c r="N229" s="7">
        <f t="shared" si="6"/>
        <v>94.522548273344427</v>
      </c>
      <c r="O229" s="7">
        <f t="shared" si="7"/>
        <v>100.00176313979937</v>
      </c>
    </row>
    <row r="230" spans="1:15" x14ac:dyDescent="0.25">
      <c r="A230" s="57">
        <v>3501</v>
      </c>
      <c r="B230" t="s">
        <v>60</v>
      </c>
      <c r="C230" t="s">
        <v>307</v>
      </c>
      <c r="D230" s="8">
        <v>296068</v>
      </c>
      <c r="E230" s="8">
        <v>293289</v>
      </c>
      <c r="F230" s="8">
        <v>19250</v>
      </c>
      <c r="G230" s="8">
        <v>21265</v>
      </c>
      <c r="H230" s="8">
        <v>21826</v>
      </c>
      <c r="I230" s="8">
        <v>21423</v>
      </c>
      <c r="J230" s="8">
        <v>17693</v>
      </c>
      <c r="K230" s="8">
        <v>19043</v>
      </c>
      <c r="L230" s="8">
        <v>19789</v>
      </c>
      <c r="M230" s="8">
        <v>20707</v>
      </c>
      <c r="N230" s="7">
        <f t="shared" si="6"/>
        <v>100.94752956980999</v>
      </c>
      <c r="O230" s="7">
        <f t="shared" si="7"/>
        <v>108.45763414128859</v>
      </c>
    </row>
    <row r="231" spans="1:15" x14ac:dyDescent="0.25">
      <c r="A231" s="57">
        <v>3502</v>
      </c>
      <c r="B231" t="s">
        <v>60</v>
      </c>
      <c r="C231" t="s">
        <v>308</v>
      </c>
      <c r="D231" s="8">
        <v>482056</v>
      </c>
      <c r="E231" s="8">
        <v>486938</v>
      </c>
      <c r="F231" s="8">
        <v>31048</v>
      </c>
      <c r="G231" s="8">
        <v>32906</v>
      </c>
      <c r="H231" s="8">
        <v>34126</v>
      </c>
      <c r="I231" s="8">
        <v>35593</v>
      </c>
      <c r="J231" s="8">
        <v>29168</v>
      </c>
      <c r="K231" s="8">
        <v>31108</v>
      </c>
      <c r="L231" s="8">
        <v>31811</v>
      </c>
      <c r="M231" s="8">
        <v>34655</v>
      </c>
      <c r="N231" s="7">
        <f t="shared" si="6"/>
        <v>98.997408294279765</v>
      </c>
      <c r="O231" s="7">
        <f t="shared" si="7"/>
        <v>105.4685897334743</v>
      </c>
    </row>
    <row r="232" spans="1:15" x14ac:dyDescent="0.25">
      <c r="A232" s="57">
        <v>3503</v>
      </c>
      <c r="B232" t="s">
        <v>60</v>
      </c>
      <c r="C232" t="s">
        <v>309</v>
      </c>
      <c r="D232" s="8">
        <v>375526</v>
      </c>
      <c r="E232" s="8">
        <v>374950</v>
      </c>
      <c r="F232" s="8">
        <v>24242</v>
      </c>
      <c r="G232" s="8">
        <v>25162</v>
      </c>
      <c r="H232" s="8">
        <v>27173</v>
      </c>
      <c r="I232" s="8">
        <v>27412</v>
      </c>
      <c r="J232" s="8">
        <v>22985</v>
      </c>
      <c r="K232" s="8">
        <v>24883</v>
      </c>
      <c r="L232" s="8">
        <v>26690</v>
      </c>
      <c r="M232" s="8">
        <v>26535</v>
      </c>
      <c r="N232" s="7">
        <f t="shared" si="6"/>
        <v>100.15362048273101</v>
      </c>
      <c r="O232" s="7">
        <f t="shared" si="7"/>
        <v>102.86468894977891</v>
      </c>
    </row>
    <row r="233" spans="1:15" x14ac:dyDescent="0.25">
      <c r="A233" s="57">
        <v>3504</v>
      </c>
      <c r="B233" t="s">
        <v>60</v>
      </c>
      <c r="C233" t="s">
        <v>310</v>
      </c>
      <c r="D233" s="8">
        <v>562567</v>
      </c>
      <c r="E233" s="8">
        <v>562438</v>
      </c>
      <c r="F233" s="8">
        <v>39332</v>
      </c>
      <c r="G233" s="8">
        <v>39864</v>
      </c>
      <c r="H233" s="8">
        <v>39070</v>
      </c>
      <c r="I233" s="8">
        <v>39072</v>
      </c>
      <c r="J233" s="8">
        <v>37376</v>
      </c>
      <c r="K233" s="8">
        <v>38258</v>
      </c>
      <c r="L233" s="8">
        <v>36866</v>
      </c>
      <c r="M233" s="8">
        <v>38592</v>
      </c>
      <c r="N233" s="7">
        <f t="shared" si="6"/>
        <v>100.02293586137495</v>
      </c>
      <c r="O233" s="7">
        <f t="shared" si="7"/>
        <v>104.13390517035978</v>
      </c>
    </row>
    <row r="234" spans="1:15" x14ac:dyDescent="0.25">
      <c r="A234" s="57">
        <v>3505</v>
      </c>
      <c r="B234" t="s">
        <v>60</v>
      </c>
      <c r="C234" t="s">
        <v>311</v>
      </c>
      <c r="D234" s="8">
        <v>643995</v>
      </c>
      <c r="E234" s="8">
        <v>638975</v>
      </c>
      <c r="F234" s="8">
        <v>46387</v>
      </c>
      <c r="G234" s="8">
        <v>44778</v>
      </c>
      <c r="H234" s="8">
        <v>45965</v>
      </c>
      <c r="I234" s="8">
        <v>47287</v>
      </c>
      <c r="J234" s="8">
        <v>43609</v>
      </c>
      <c r="K234" s="8">
        <v>43566</v>
      </c>
      <c r="L234" s="8">
        <v>43385</v>
      </c>
      <c r="M234" s="8">
        <v>44759</v>
      </c>
      <c r="N234" s="7">
        <f t="shared" si="6"/>
        <v>100.78563324073713</v>
      </c>
      <c r="O234" s="7">
        <f t="shared" si="7"/>
        <v>105.18939761235234</v>
      </c>
    </row>
    <row r="235" spans="1:15" x14ac:dyDescent="0.25">
      <c r="A235" s="57">
        <v>3506</v>
      </c>
      <c r="B235" t="s">
        <v>60</v>
      </c>
      <c r="C235" t="s">
        <v>312</v>
      </c>
      <c r="D235" s="8">
        <v>864413</v>
      </c>
      <c r="E235" s="8">
        <v>849758</v>
      </c>
      <c r="F235" s="8">
        <v>63601</v>
      </c>
      <c r="G235" s="8">
        <v>65639</v>
      </c>
      <c r="H235" s="8">
        <v>62001</v>
      </c>
      <c r="I235" s="8">
        <v>61533</v>
      </c>
      <c r="J235" s="8">
        <v>60145</v>
      </c>
      <c r="K235" s="8">
        <v>60773</v>
      </c>
      <c r="L235" s="8">
        <v>57624</v>
      </c>
      <c r="M235" s="8">
        <v>57629</v>
      </c>
      <c r="N235" s="7">
        <f t="shared" si="6"/>
        <v>101.72460865328716</v>
      </c>
      <c r="O235" s="7">
        <f t="shared" si="7"/>
        <v>107.03007566551355</v>
      </c>
    </row>
    <row r="236" spans="1:15" x14ac:dyDescent="0.25">
      <c r="A236" s="57">
        <v>3507</v>
      </c>
      <c r="B236" t="s">
        <v>60</v>
      </c>
      <c r="C236" t="s">
        <v>313</v>
      </c>
      <c r="D236" s="8">
        <v>1392081</v>
      </c>
      <c r="E236" s="8">
        <v>1381921</v>
      </c>
      <c r="F236" s="8">
        <v>97697</v>
      </c>
      <c r="G236" s="8">
        <v>101273</v>
      </c>
      <c r="H236" s="8">
        <v>103293</v>
      </c>
      <c r="I236" s="8">
        <v>104921</v>
      </c>
      <c r="J236" s="8">
        <v>93310</v>
      </c>
      <c r="K236" s="8">
        <v>95359</v>
      </c>
      <c r="L236" s="8">
        <v>96849</v>
      </c>
      <c r="M236" s="8">
        <v>100603</v>
      </c>
      <c r="N236" s="7">
        <f t="shared" si="6"/>
        <v>100.73520845258159</v>
      </c>
      <c r="O236" s="7">
        <f t="shared" si="7"/>
        <v>105.45502575617488</v>
      </c>
    </row>
    <row r="237" spans="1:15" x14ac:dyDescent="0.25">
      <c r="A237" s="57">
        <v>3508</v>
      </c>
      <c r="B237" t="s">
        <v>60</v>
      </c>
      <c r="C237" t="s">
        <v>314</v>
      </c>
      <c r="D237" s="8">
        <v>572264</v>
      </c>
      <c r="E237" s="8">
        <v>586103</v>
      </c>
      <c r="F237" s="8">
        <v>43408</v>
      </c>
      <c r="G237" s="8">
        <v>43619</v>
      </c>
      <c r="H237" s="8">
        <v>42680</v>
      </c>
      <c r="I237" s="8">
        <v>42045</v>
      </c>
      <c r="J237" s="8">
        <v>40927</v>
      </c>
      <c r="K237" s="8">
        <v>41953</v>
      </c>
      <c r="L237" s="8">
        <v>41340</v>
      </c>
      <c r="M237" s="8">
        <v>41599</v>
      </c>
      <c r="N237" s="7">
        <f t="shared" si="6"/>
        <v>97.638810925724655</v>
      </c>
      <c r="O237" s="7">
        <f t="shared" si="7"/>
        <v>103.57799769628329</v>
      </c>
    </row>
    <row r="238" spans="1:15" x14ac:dyDescent="0.25">
      <c r="A238" s="57">
        <v>3509</v>
      </c>
      <c r="B238" t="s">
        <v>60</v>
      </c>
      <c r="C238" t="s">
        <v>315</v>
      </c>
      <c r="D238" s="8">
        <v>1311933</v>
      </c>
      <c r="E238" s="8">
        <v>1323804</v>
      </c>
      <c r="F238" s="8">
        <v>99453</v>
      </c>
      <c r="G238" s="8">
        <v>99842</v>
      </c>
      <c r="H238" s="8">
        <v>101927</v>
      </c>
      <c r="I238" s="8">
        <v>99893</v>
      </c>
      <c r="J238" s="8">
        <v>93996</v>
      </c>
      <c r="K238" s="8">
        <v>95963</v>
      </c>
      <c r="L238" s="8">
        <v>98161</v>
      </c>
      <c r="M238" s="8">
        <v>98547</v>
      </c>
      <c r="N238" s="7">
        <f t="shared" si="6"/>
        <v>99.103266042405068</v>
      </c>
      <c r="O238" s="7">
        <f t="shared" si="7"/>
        <v>103.73654850297542</v>
      </c>
    </row>
    <row r="239" spans="1:15" x14ac:dyDescent="0.25">
      <c r="A239" s="57">
        <v>3510</v>
      </c>
      <c r="B239" t="s">
        <v>60</v>
      </c>
      <c r="C239" t="s">
        <v>316</v>
      </c>
      <c r="D239" s="8">
        <v>885944</v>
      </c>
      <c r="E239" s="8">
        <v>888384</v>
      </c>
      <c r="F239" s="8">
        <v>65439</v>
      </c>
      <c r="G239" s="8">
        <v>65765</v>
      </c>
      <c r="H239" s="8">
        <v>64294</v>
      </c>
      <c r="I239" s="8">
        <v>61616</v>
      </c>
      <c r="J239" s="8">
        <v>61746</v>
      </c>
      <c r="K239" s="8">
        <v>62047</v>
      </c>
      <c r="L239" s="8">
        <v>61325</v>
      </c>
      <c r="M239" s="8">
        <v>59617</v>
      </c>
      <c r="N239" s="7">
        <f t="shared" si="6"/>
        <v>99.72534399538938</v>
      </c>
      <c r="O239" s="7">
        <f t="shared" si="7"/>
        <v>105.05812409340716</v>
      </c>
    </row>
    <row r="240" spans="1:15" x14ac:dyDescent="0.25">
      <c r="A240" s="57">
        <v>3511</v>
      </c>
      <c r="B240" t="s">
        <v>60</v>
      </c>
      <c r="C240" t="s">
        <v>317</v>
      </c>
      <c r="D240" s="8">
        <v>394527</v>
      </c>
      <c r="E240" s="8">
        <v>405605</v>
      </c>
      <c r="F240" s="8">
        <v>28672</v>
      </c>
      <c r="G240" s="8">
        <v>29459</v>
      </c>
      <c r="H240" s="8">
        <v>28544</v>
      </c>
      <c r="I240" s="8">
        <v>28148</v>
      </c>
      <c r="J240" s="8">
        <v>27971</v>
      </c>
      <c r="K240" s="8">
        <v>28622</v>
      </c>
      <c r="L240" s="8">
        <v>29336</v>
      </c>
      <c r="M240" s="8">
        <v>28894</v>
      </c>
      <c r="N240" s="7">
        <f t="shared" si="6"/>
        <v>97.268771341576169</v>
      </c>
      <c r="O240" s="7">
        <f t="shared" si="7"/>
        <v>100</v>
      </c>
    </row>
    <row r="241" spans="1:15" x14ac:dyDescent="0.25">
      <c r="A241" s="57">
        <v>3512</v>
      </c>
      <c r="B241" t="s">
        <v>60</v>
      </c>
      <c r="C241" t="s">
        <v>318</v>
      </c>
      <c r="D241" s="8">
        <v>347649</v>
      </c>
      <c r="E241" s="8">
        <v>359923</v>
      </c>
      <c r="F241" s="8">
        <v>25215</v>
      </c>
      <c r="G241" s="8">
        <v>25350</v>
      </c>
      <c r="H241" s="8">
        <v>24982</v>
      </c>
      <c r="I241" s="8">
        <v>25283</v>
      </c>
      <c r="J241" s="8">
        <v>24226</v>
      </c>
      <c r="K241" s="8">
        <v>24647</v>
      </c>
      <c r="L241" s="8">
        <v>25537</v>
      </c>
      <c r="M241" s="8">
        <v>26064</v>
      </c>
      <c r="N241" s="7">
        <f t="shared" si="6"/>
        <v>96.589826157261413</v>
      </c>
      <c r="O241" s="7">
        <f t="shared" si="7"/>
        <v>100.35432052073172</v>
      </c>
    </row>
    <row r="242" spans="1:15" x14ac:dyDescent="0.25">
      <c r="A242" s="57">
        <v>3513</v>
      </c>
      <c r="B242" t="s">
        <v>60</v>
      </c>
      <c r="C242" t="s">
        <v>319</v>
      </c>
      <c r="D242" s="8">
        <v>592504</v>
      </c>
      <c r="E242" s="8">
        <v>608477</v>
      </c>
      <c r="F242" s="8">
        <v>43571</v>
      </c>
      <c r="G242" s="8">
        <v>45015</v>
      </c>
      <c r="H242" s="8">
        <v>43217</v>
      </c>
      <c r="I242" s="8">
        <v>43432</v>
      </c>
      <c r="J242" s="8">
        <v>41787</v>
      </c>
      <c r="K242" s="8">
        <v>43779</v>
      </c>
      <c r="L242" s="8">
        <v>43673</v>
      </c>
      <c r="M242" s="8">
        <v>44881</v>
      </c>
      <c r="N242" s="7">
        <f t="shared" si="6"/>
        <v>97.374921319951284</v>
      </c>
      <c r="O242" s="7">
        <f t="shared" si="7"/>
        <v>100.640362968068</v>
      </c>
    </row>
    <row r="243" spans="1:15" x14ac:dyDescent="0.25">
      <c r="A243" s="57">
        <v>3514</v>
      </c>
      <c r="B243" t="s">
        <v>60</v>
      </c>
      <c r="C243" t="s">
        <v>320</v>
      </c>
      <c r="D243" s="8">
        <v>840211</v>
      </c>
      <c r="E243" s="8">
        <v>840811</v>
      </c>
      <c r="F243" s="8">
        <v>61889</v>
      </c>
      <c r="G243" s="8">
        <v>65004</v>
      </c>
      <c r="H243" s="8">
        <v>66151</v>
      </c>
      <c r="I243" s="8">
        <v>65350</v>
      </c>
      <c r="J243" s="8">
        <v>58051</v>
      </c>
      <c r="K243" s="8">
        <v>60245</v>
      </c>
      <c r="L243" s="8">
        <v>63484</v>
      </c>
      <c r="M243" s="8">
        <v>64805</v>
      </c>
      <c r="N243" s="7">
        <f t="shared" si="6"/>
        <v>99.928640324638948</v>
      </c>
      <c r="O243" s="7">
        <f t="shared" si="7"/>
        <v>104.78901798568445</v>
      </c>
    </row>
    <row r="244" spans="1:15" x14ac:dyDescent="0.25">
      <c r="A244" s="57">
        <v>3515</v>
      </c>
      <c r="B244" t="s">
        <v>60</v>
      </c>
      <c r="C244" t="s">
        <v>321</v>
      </c>
      <c r="D244" s="8">
        <v>1111406</v>
      </c>
      <c r="E244" s="8">
        <v>1103882</v>
      </c>
      <c r="F244" s="8">
        <v>83734</v>
      </c>
      <c r="G244" s="8">
        <v>83272</v>
      </c>
      <c r="H244" s="8">
        <v>86852</v>
      </c>
      <c r="I244" s="8">
        <v>84706</v>
      </c>
      <c r="J244" s="8">
        <v>78365</v>
      </c>
      <c r="K244" s="8">
        <v>79165</v>
      </c>
      <c r="L244" s="8">
        <v>84243</v>
      </c>
      <c r="M244" s="8">
        <v>82892</v>
      </c>
      <c r="N244" s="7">
        <f t="shared" si="6"/>
        <v>100.68159459072619</v>
      </c>
      <c r="O244" s="7">
        <f t="shared" si="7"/>
        <v>104.28102813669476</v>
      </c>
    </row>
    <row r="245" spans="1:15" x14ac:dyDescent="0.25">
      <c r="A245" s="57">
        <v>3516</v>
      </c>
      <c r="B245" t="s">
        <v>60</v>
      </c>
      <c r="C245" t="s">
        <v>322</v>
      </c>
      <c r="D245" s="8">
        <v>588081</v>
      </c>
      <c r="E245" s="8">
        <v>582679</v>
      </c>
      <c r="F245" s="8">
        <v>41670</v>
      </c>
      <c r="G245" s="8">
        <v>41650</v>
      </c>
      <c r="H245" s="8">
        <v>44848</v>
      </c>
      <c r="I245" s="8">
        <v>44803</v>
      </c>
      <c r="J245" s="8">
        <v>40125</v>
      </c>
      <c r="K245" s="8">
        <v>40535</v>
      </c>
      <c r="L245" s="8">
        <v>43142</v>
      </c>
      <c r="M245" s="8">
        <v>42254</v>
      </c>
      <c r="N245" s="7">
        <f t="shared" si="6"/>
        <v>100.92709708089703</v>
      </c>
      <c r="O245" s="7">
        <f t="shared" si="7"/>
        <v>104.16425784072842</v>
      </c>
    </row>
    <row r="246" spans="1:15" x14ac:dyDescent="0.25">
      <c r="A246" s="57">
        <v>3517</v>
      </c>
      <c r="B246" t="s">
        <v>60</v>
      </c>
      <c r="C246" t="s">
        <v>323</v>
      </c>
      <c r="D246" s="8">
        <v>697290</v>
      </c>
      <c r="E246" s="8">
        <v>687266</v>
      </c>
      <c r="F246" s="8">
        <v>52889</v>
      </c>
      <c r="G246" s="8">
        <v>51485</v>
      </c>
      <c r="H246" s="8">
        <v>51651</v>
      </c>
      <c r="I246" s="8">
        <v>51915</v>
      </c>
      <c r="J246" s="8">
        <v>49749</v>
      </c>
      <c r="K246" s="8">
        <v>48278</v>
      </c>
      <c r="L246" s="8">
        <v>48385</v>
      </c>
      <c r="M246" s="8">
        <v>48874</v>
      </c>
      <c r="N246" s="7">
        <f t="shared" si="6"/>
        <v>101.45853279516228</v>
      </c>
      <c r="O246" s="7">
        <f t="shared" si="7"/>
        <v>106.47972716938234</v>
      </c>
    </row>
    <row r="247" spans="1:15" x14ac:dyDescent="0.25">
      <c r="A247" s="57">
        <v>3518</v>
      </c>
      <c r="B247" t="s">
        <v>60</v>
      </c>
      <c r="C247" t="s">
        <v>324</v>
      </c>
      <c r="D247" s="8">
        <v>574877</v>
      </c>
      <c r="E247" s="8">
        <v>570278</v>
      </c>
      <c r="F247" s="8">
        <v>40436</v>
      </c>
      <c r="G247" s="8">
        <v>41850</v>
      </c>
      <c r="H247" s="8">
        <v>40685</v>
      </c>
      <c r="I247" s="8">
        <v>41595</v>
      </c>
      <c r="J247" s="8">
        <v>38800</v>
      </c>
      <c r="K247" s="8">
        <v>39779</v>
      </c>
      <c r="L247" s="8">
        <v>37746</v>
      </c>
      <c r="M247" s="8">
        <v>39799</v>
      </c>
      <c r="N247" s="7">
        <f t="shared" si="6"/>
        <v>100.80644878462786</v>
      </c>
      <c r="O247" s="7">
        <f t="shared" si="7"/>
        <v>105.40724039865748</v>
      </c>
    </row>
    <row r="248" spans="1:15" x14ac:dyDescent="0.25">
      <c r="A248" s="57">
        <v>3519</v>
      </c>
      <c r="B248" t="s">
        <v>60</v>
      </c>
      <c r="C248" t="s">
        <v>325</v>
      </c>
      <c r="D248" s="8">
        <v>377389</v>
      </c>
      <c r="E248" s="8">
        <v>386439</v>
      </c>
      <c r="F248" s="8">
        <v>24807</v>
      </c>
      <c r="G248" s="8">
        <v>25047</v>
      </c>
      <c r="H248" s="8">
        <v>25716</v>
      </c>
      <c r="I248" s="8">
        <v>25635</v>
      </c>
      <c r="J248" s="8">
        <v>23281</v>
      </c>
      <c r="K248" s="8">
        <v>23717</v>
      </c>
      <c r="L248" s="8">
        <v>24613</v>
      </c>
      <c r="M248" s="8">
        <v>25467</v>
      </c>
      <c r="N248" s="7">
        <f t="shared" si="6"/>
        <v>97.65810386632819</v>
      </c>
      <c r="O248" s="7">
        <f t="shared" si="7"/>
        <v>104.25122066791653</v>
      </c>
    </row>
    <row r="249" spans="1:15" x14ac:dyDescent="0.25">
      <c r="A249" s="57">
        <v>3520</v>
      </c>
      <c r="B249" t="s">
        <v>60</v>
      </c>
      <c r="C249" t="s">
        <v>326</v>
      </c>
      <c r="D249" s="8">
        <v>340504</v>
      </c>
      <c r="E249" s="8">
        <v>352281</v>
      </c>
      <c r="F249" s="8">
        <v>22855</v>
      </c>
      <c r="G249" s="8">
        <v>23410</v>
      </c>
      <c r="H249" s="8">
        <v>23374</v>
      </c>
      <c r="I249" s="8">
        <v>23205</v>
      </c>
      <c r="J249" s="8">
        <v>21641</v>
      </c>
      <c r="K249" s="8">
        <v>22648</v>
      </c>
      <c r="L249" s="8">
        <v>22479</v>
      </c>
      <c r="M249" s="8">
        <v>23180</v>
      </c>
      <c r="N249" s="7">
        <f t="shared" si="6"/>
        <v>96.656930121124901</v>
      </c>
      <c r="O249" s="7">
        <f t="shared" si="7"/>
        <v>103.21963801307422</v>
      </c>
    </row>
    <row r="250" spans="1:15" x14ac:dyDescent="0.25">
      <c r="A250" s="57">
        <v>3521</v>
      </c>
      <c r="B250" t="s">
        <v>60</v>
      </c>
      <c r="C250" t="s">
        <v>327</v>
      </c>
      <c r="D250" s="8">
        <v>440114</v>
      </c>
      <c r="E250" s="8">
        <v>449874</v>
      </c>
      <c r="F250" s="8">
        <v>30378</v>
      </c>
      <c r="G250" s="8">
        <v>30910</v>
      </c>
      <c r="H250" s="8">
        <v>30175</v>
      </c>
      <c r="I250" s="8">
        <v>30047</v>
      </c>
      <c r="J250" s="8">
        <v>28999</v>
      </c>
      <c r="K250" s="8">
        <v>30436</v>
      </c>
      <c r="L250" s="8">
        <v>28787</v>
      </c>
      <c r="M250" s="8">
        <v>30792</v>
      </c>
      <c r="N250" s="7">
        <f t="shared" si="6"/>
        <v>97.8305036521337</v>
      </c>
      <c r="O250" s="7">
        <f t="shared" si="7"/>
        <v>102.09723225838975</v>
      </c>
    </row>
    <row r="251" spans="1:15" x14ac:dyDescent="0.25">
      <c r="A251" s="57">
        <v>3522</v>
      </c>
      <c r="B251" t="s">
        <v>60</v>
      </c>
      <c r="C251" t="s">
        <v>328</v>
      </c>
      <c r="D251" s="8">
        <v>668970</v>
      </c>
      <c r="E251" s="8">
        <v>666318</v>
      </c>
      <c r="F251" s="8">
        <v>45218</v>
      </c>
      <c r="G251" s="8">
        <v>46633</v>
      </c>
      <c r="H251" s="8">
        <v>48751</v>
      </c>
      <c r="I251" s="8">
        <v>48503</v>
      </c>
      <c r="J251" s="8">
        <v>42707</v>
      </c>
      <c r="K251" s="8">
        <v>44751</v>
      </c>
      <c r="L251" s="8">
        <v>47576</v>
      </c>
      <c r="M251" s="8">
        <v>48276</v>
      </c>
      <c r="N251" s="7">
        <f t="shared" si="6"/>
        <v>100.39800815826678</v>
      </c>
      <c r="O251" s="7">
        <f t="shared" si="7"/>
        <v>103.16131143963779</v>
      </c>
    </row>
    <row r="252" spans="1:15" x14ac:dyDescent="0.25">
      <c r="A252" s="57">
        <v>3523</v>
      </c>
      <c r="B252" t="s">
        <v>60</v>
      </c>
      <c r="C252" t="s">
        <v>329</v>
      </c>
      <c r="D252" s="8">
        <v>616978</v>
      </c>
      <c r="E252" s="8">
        <v>620110</v>
      </c>
      <c r="F252" s="8">
        <v>41364</v>
      </c>
      <c r="G252" s="8">
        <v>44348</v>
      </c>
      <c r="H252" s="8">
        <v>46011</v>
      </c>
      <c r="I252" s="8">
        <v>48262</v>
      </c>
      <c r="J252" s="8">
        <v>39245</v>
      </c>
      <c r="K252" s="8">
        <v>42325</v>
      </c>
      <c r="L252" s="8">
        <v>45478</v>
      </c>
      <c r="M252" s="8">
        <v>47365</v>
      </c>
      <c r="N252" s="7">
        <f t="shared" si="6"/>
        <v>99.49492831916919</v>
      </c>
      <c r="O252" s="7">
        <f t="shared" si="7"/>
        <v>103.19471599020716</v>
      </c>
    </row>
    <row r="253" spans="1:15" x14ac:dyDescent="0.25">
      <c r="A253" s="57">
        <v>3524</v>
      </c>
      <c r="B253" t="s">
        <v>60</v>
      </c>
      <c r="C253" t="s">
        <v>330</v>
      </c>
      <c r="D253" s="8">
        <v>696579</v>
      </c>
      <c r="E253" s="8">
        <v>697643</v>
      </c>
      <c r="F253" s="8">
        <v>48553</v>
      </c>
      <c r="G253" s="8">
        <v>51980</v>
      </c>
      <c r="H253" s="8">
        <v>54364</v>
      </c>
      <c r="I253" s="8">
        <v>51296</v>
      </c>
      <c r="J253" s="8">
        <v>46435</v>
      </c>
      <c r="K253" s="8">
        <v>50105</v>
      </c>
      <c r="L253" s="8">
        <v>51584</v>
      </c>
      <c r="M253" s="8">
        <v>48895</v>
      </c>
      <c r="N253" s="7">
        <f t="shared" si="6"/>
        <v>99.847486465140477</v>
      </c>
      <c r="O253" s="7">
        <f t="shared" si="7"/>
        <v>104.65640369710536</v>
      </c>
    </row>
    <row r="254" spans="1:15" x14ac:dyDescent="0.25">
      <c r="A254" s="57">
        <v>3525</v>
      </c>
      <c r="B254" t="s">
        <v>60</v>
      </c>
      <c r="C254" t="s">
        <v>331</v>
      </c>
      <c r="D254" s="8">
        <v>699329</v>
      </c>
      <c r="E254" s="8">
        <v>690843</v>
      </c>
      <c r="F254" s="8">
        <v>53025</v>
      </c>
      <c r="G254" s="8">
        <v>51106</v>
      </c>
      <c r="H254" s="8">
        <v>52717</v>
      </c>
      <c r="I254" s="8">
        <v>52356</v>
      </c>
      <c r="J254" s="8">
        <v>49443</v>
      </c>
      <c r="K254" s="8">
        <v>49579</v>
      </c>
      <c r="L254" s="8">
        <v>52059</v>
      </c>
      <c r="M254" s="8">
        <v>51393</v>
      </c>
      <c r="N254" s="7">
        <f t="shared" si="6"/>
        <v>101.22835434389579</v>
      </c>
      <c r="O254" s="7">
        <f t="shared" si="7"/>
        <v>103.32388356035838</v>
      </c>
    </row>
    <row r="255" spans="1:15" x14ac:dyDescent="0.25">
      <c r="A255" s="57">
        <v>3526</v>
      </c>
      <c r="B255" t="s">
        <v>60</v>
      </c>
      <c r="C255" t="s">
        <v>332</v>
      </c>
      <c r="D255" s="8">
        <v>555200</v>
      </c>
      <c r="E255" s="8">
        <v>567861</v>
      </c>
      <c r="F255" s="8">
        <v>45245</v>
      </c>
      <c r="G255" s="8">
        <v>47807</v>
      </c>
      <c r="H255" s="8">
        <v>48460</v>
      </c>
      <c r="I255" s="8">
        <v>49045</v>
      </c>
      <c r="J255" s="8">
        <v>43309</v>
      </c>
      <c r="K255" s="8">
        <v>44985</v>
      </c>
      <c r="L255" s="8">
        <v>46779</v>
      </c>
      <c r="M255" s="8">
        <v>48961</v>
      </c>
      <c r="N255" s="7">
        <f t="shared" si="6"/>
        <v>97.77040508152524</v>
      </c>
      <c r="O255" s="7">
        <f t="shared" si="7"/>
        <v>103.54445374224328</v>
      </c>
    </row>
    <row r="256" spans="1:15" x14ac:dyDescent="0.25">
      <c r="A256" s="57">
        <v>3527</v>
      </c>
      <c r="B256" t="s">
        <v>60</v>
      </c>
      <c r="C256" t="s">
        <v>333</v>
      </c>
      <c r="D256" s="8">
        <v>515990</v>
      </c>
      <c r="E256" s="8">
        <v>522396</v>
      </c>
      <c r="F256" s="8">
        <v>35194</v>
      </c>
      <c r="G256" s="8">
        <v>45242</v>
      </c>
      <c r="H256" s="8">
        <v>46641</v>
      </c>
      <c r="I256" s="8">
        <v>45592</v>
      </c>
      <c r="J256" s="8">
        <v>33738</v>
      </c>
      <c r="K256" s="8">
        <v>42392</v>
      </c>
      <c r="L256" s="8">
        <v>45657</v>
      </c>
      <c r="M256" s="8">
        <v>46767</v>
      </c>
      <c r="N256" s="7">
        <f t="shared" si="6"/>
        <v>98.773727210774965</v>
      </c>
      <c r="O256" s="7">
        <f t="shared" si="7"/>
        <v>102.44135410610249</v>
      </c>
    </row>
    <row r="257" spans="1:15" x14ac:dyDescent="0.25">
      <c r="A257" s="57">
        <v>3528</v>
      </c>
      <c r="B257" t="s">
        <v>60</v>
      </c>
      <c r="C257" t="s">
        <v>334</v>
      </c>
      <c r="D257" s="8">
        <v>443858</v>
      </c>
      <c r="E257" s="8">
        <v>457808</v>
      </c>
      <c r="F257" s="8">
        <v>32321</v>
      </c>
      <c r="G257" s="8">
        <v>37300</v>
      </c>
      <c r="H257" s="8">
        <v>34835</v>
      </c>
      <c r="I257" s="8">
        <v>34152</v>
      </c>
      <c r="J257" s="8">
        <v>30966</v>
      </c>
      <c r="K257" s="8">
        <v>35545</v>
      </c>
      <c r="L257" s="8">
        <v>34008</v>
      </c>
      <c r="M257" s="8">
        <v>35568</v>
      </c>
      <c r="N257" s="7">
        <f t="shared" si="6"/>
        <v>96.952871072589389</v>
      </c>
      <c r="O257" s="7">
        <f t="shared" si="7"/>
        <v>101.85249142092925</v>
      </c>
    </row>
    <row r="258" spans="1:15" x14ac:dyDescent="0.25">
      <c r="A258" s="57">
        <v>3529</v>
      </c>
      <c r="B258" t="s">
        <v>60</v>
      </c>
      <c r="C258" t="s">
        <v>335</v>
      </c>
      <c r="D258" s="8">
        <v>565186</v>
      </c>
      <c r="E258" s="8">
        <v>600041</v>
      </c>
      <c r="F258" s="8">
        <v>39471</v>
      </c>
      <c r="G258" s="8">
        <v>40574</v>
      </c>
      <c r="H258" s="8">
        <v>39600</v>
      </c>
      <c r="I258" s="8">
        <v>42702</v>
      </c>
      <c r="J258" s="8">
        <v>37687</v>
      </c>
      <c r="K258" s="8">
        <v>40611</v>
      </c>
      <c r="L258" s="8">
        <v>41103</v>
      </c>
      <c r="M258" s="8">
        <v>44725</v>
      </c>
      <c r="N258" s="7">
        <f t="shared" si="6"/>
        <v>94.191230265931821</v>
      </c>
      <c r="O258" s="7">
        <f t="shared" si="7"/>
        <v>98.916076672800173</v>
      </c>
    </row>
    <row r="259" spans="1:15" x14ac:dyDescent="0.25">
      <c r="A259" s="57">
        <v>3571</v>
      </c>
      <c r="B259" t="s">
        <v>60</v>
      </c>
      <c r="C259" t="s">
        <v>336</v>
      </c>
      <c r="D259" s="8">
        <v>152543</v>
      </c>
      <c r="E259" s="8">
        <v>151586</v>
      </c>
      <c r="F259" s="8">
        <v>13122</v>
      </c>
      <c r="G259" s="8">
        <v>13087</v>
      </c>
      <c r="H259" s="8">
        <v>11163</v>
      </c>
      <c r="I259" s="8">
        <v>10278</v>
      </c>
      <c r="J259" s="8">
        <v>12432</v>
      </c>
      <c r="K259" s="8">
        <v>11714</v>
      </c>
      <c r="L259" s="8">
        <v>10192</v>
      </c>
      <c r="M259" s="8">
        <v>9927</v>
      </c>
      <c r="N259" s="7">
        <f t="shared" si="6"/>
        <v>100.63132479252701</v>
      </c>
      <c r="O259" s="7">
        <f t="shared" si="7"/>
        <v>107.64712526827066</v>
      </c>
    </row>
    <row r="260" spans="1:15" x14ac:dyDescent="0.25">
      <c r="A260" s="57">
        <v>3572</v>
      </c>
      <c r="B260" t="s">
        <v>60</v>
      </c>
      <c r="C260" t="s">
        <v>337</v>
      </c>
      <c r="D260" s="8">
        <v>78161</v>
      </c>
      <c r="E260" s="8">
        <v>79624</v>
      </c>
      <c r="F260" s="8">
        <v>6048</v>
      </c>
      <c r="G260" s="8">
        <v>5929</v>
      </c>
      <c r="H260" s="8">
        <v>5548</v>
      </c>
      <c r="I260" s="8">
        <v>5622</v>
      </c>
      <c r="J260" s="8">
        <v>5760</v>
      </c>
      <c r="K260" s="8">
        <v>5762</v>
      </c>
      <c r="L260" s="8">
        <v>5816</v>
      </c>
      <c r="M260" s="8">
        <v>5874</v>
      </c>
      <c r="N260" s="7">
        <f t="shared" ref="N260:N323" si="8">D260/E260*100</f>
        <v>98.162614287149609</v>
      </c>
      <c r="O260" s="7">
        <f t="shared" ref="O260:O323" si="9">SUM(F260:I260)/SUM(J260:M260)*100</f>
        <v>99.719972428054461</v>
      </c>
    </row>
    <row r="261" spans="1:15" x14ac:dyDescent="0.25">
      <c r="A261" s="57">
        <v>3573</v>
      </c>
      <c r="B261" t="s">
        <v>60</v>
      </c>
      <c r="C261" t="s">
        <v>338</v>
      </c>
      <c r="D261" s="8">
        <v>440234</v>
      </c>
      <c r="E261" s="8">
        <v>446586</v>
      </c>
      <c r="F261" s="8">
        <v>32559</v>
      </c>
      <c r="G261" s="8">
        <v>33910</v>
      </c>
      <c r="H261" s="8">
        <v>33661</v>
      </c>
      <c r="I261" s="8">
        <v>34410</v>
      </c>
      <c r="J261" s="8">
        <v>31274</v>
      </c>
      <c r="K261" s="8">
        <v>32767</v>
      </c>
      <c r="L261" s="8">
        <v>32870</v>
      </c>
      <c r="M261" s="8">
        <v>33357</v>
      </c>
      <c r="N261" s="7">
        <f t="shared" si="8"/>
        <v>98.577653576242881</v>
      </c>
      <c r="O261" s="7">
        <f t="shared" si="9"/>
        <v>103.27939325083673</v>
      </c>
    </row>
    <row r="262" spans="1:15" x14ac:dyDescent="0.25">
      <c r="A262" s="57">
        <v>3574</v>
      </c>
      <c r="B262" t="s">
        <v>60</v>
      </c>
      <c r="C262" t="s">
        <v>339</v>
      </c>
      <c r="D262" s="8">
        <v>126366</v>
      </c>
      <c r="E262" s="8">
        <v>128203</v>
      </c>
      <c r="F262" s="8">
        <v>9925</v>
      </c>
      <c r="G262" s="8">
        <v>9865</v>
      </c>
      <c r="H262" s="8">
        <v>9625</v>
      </c>
      <c r="I262" s="8">
        <v>9234</v>
      </c>
      <c r="J262" s="8">
        <v>9509</v>
      </c>
      <c r="K262" s="8">
        <v>9641</v>
      </c>
      <c r="L262" s="8">
        <v>9476</v>
      </c>
      <c r="M262" s="8">
        <v>9216</v>
      </c>
      <c r="N262" s="7">
        <f t="shared" si="8"/>
        <v>98.567116214129157</v>
      </c>
      <c r="O262" s="7">
        <f t="shared" si="9"/>
        <v>102.13255113366102</v>
      </c>
    </row>
    <row r="263" spans="1:15" x14ac:dyDescent="0.25">
      <c r="A263" s="57">
        <v>3575</v>
      </c>
      <c r="B263" t="s">
        <v>60</v>
      </c>
      <c r="C263" t="s">
        <v>340</v>
      </c>
      <c r="D263" s="8">
        <v>112632</v>
      </c>
      <c r="E263" s="8">
        <v>112625</v>
      </c>
      <c r="F263" s="8">
        <v>8813</v>
      </c>
      <c r="G263" s="8">
        <v>8879</v>
      </c>
      <c r="H263" s="8">
        <v>9043</v>
      </c>
      <c r="I263" s="8">
        <v>8631</v>
      </c>
      <c r="J263" s="8">
        <v>8203</v>
      </c>
      <c r="K263" s="8">
        <v>8493</v>
      </c>
      <c r="L263" s="8">
        <v>8527</v>
      </c>
      <c r="M263" s="8">
        <v>8370</v>
      </c>
      <c r="N263" s="7">
        <f t="shared" si="8"/>
        <v>100.00621531631519</v>
      </c>
      <c r="O263" s="7">
        <f t="shared" si="9"/>
        <v>105.27788527371773</v>
      </c>
    </row>
    <row r="264" spans="1:15" x14ac:dyDescent="0.25">
      <c r="A264" s="57">
        <v>3576</v>
      </c>
      <c r="B264" t="s">
        <v>60</v>
      </c>
      <c r="C264" t="s">
        <v>341</v>
      </c>
      <c r="D264" s="8">
        <v>69204</v>
      </c>
      <c r="E264" s="8">
        <v>70613</v>
      </c>
      <c r="F264" s="8">
        <v>5464</v>
      </c>
      <c r="G264" s="8">
        <v>4895</v>
      </c>
      <c r="H264" s="8">
        <v>5205</v>
      </c>
      <c r="I264" s="8">
        <v>5362</v>
      </c>
      <c r="J264" s="8">
        <v>4976</v>
      </c>
      <c r="K264" s="8">
        <v>4831</v>
      </c>
      <c r="L264" s="8">
        <v>5262</v>
      </c>
      <c r="M264" s="8">
        <v>5207</v>
      </c>
      <c r="N264" s="7">
        <f t="shared" si="8"/>
        <v>98.004616713636295</v>
      </c>
      <c r="O264" s="7">
        <f t="shared" si="9"/>
        <v>103.20576050503058</v>
      </c>
    </row>
    <row r="265" spans="1:15" x14ac:dyDescent="0.25">
      <c r="A265" s="57">
        <v>3577</v>
      </c>
      <c r="B265" t="s">
        <v>60</v>
      </c>
      <c r="C265" t="s">
        <v>342</v>
      </c>
      <c r="D265" s="8">
        <v>100503</v>
      </c>
      <c r="E265" s="8">
        <v>104813</v>
      </c>
      <c r="F265" s="8">
        <v>7906</v>
      </c>
      <c r="G265" s="8">
        <v>7829</v>
      </c>
      <c r="H265" s="8">
        <v>7391</v>
      </c>
      <c r="I265" s="8">
        <v>7061</v>
      </c>
      <c r="J265" s="8">
        <v>7516</v>
      </c>
      <c r="K265" s="8">
        <v>7728</v>
      </c>
      <c r="L265" s="8">
        <v>7360</v>
      </c>
      <c r="M265" s="8">
        <v>6885</v>
      </c>
      <c r="N265" s="7">
        <f t="shared" si="8"/>
        <v>95.887914667073744</v>
      </c>
      <c r="O265" s="7">
        <f t="shared" si="9"/>
        <v>102.36698429923021</v>
      </c>
    </row>
    <row r="266" spans="1:15" x14ac:dyDescent="0.25">
      <c r="A266" s="57">
        <v>3578</v>
      </c>
      <c r="B266" t="s">
        <v>60</v>
      </c>
      <c r="C266" t="s">
        <v>343</v>
      </c>
      <c r="D266" s="8">
        <v>1453758</v>
      </c>
      <c r="E266" s="8">
        <v>1486507</v>
      </c>
      <c r="F266" s="8">
        <v>111887</v>
      </c>
      <c r="G266" s="8">
        <v>107533</v>
      </c>
      <c r="H266" s="8">
        <v>108848</v>
      </c>
      <c r="I266" s="8">
        <v>109178</v>
      </c>
      <c r="J266" s="8">
        <v>106499</v>
      </c>
      <c r="K266" s="8">
        <v>104236</v>
      </c>
      <c r="L266" s="8">
        <v>109417</v>
      </c>
      <c r="M266" s="8">
        <v>110671</v>
      </c>
      <c r="N266" s="7">
        <f t="shared" si="8"/>
        <v>97.796915857106626</v>
      </c>
      <c r="O266" s="7">
        <f t="shared" si="9"/>
        <v>101.53729025609124</v>
      </c>
    </row>
    <row r="267" spans="1:15" x14ac:dyDescent="0.25">
      <c r="A267" s="57">
        <v>3579</v>
      </c>
      <c r="B267" t="s">
        <v>60</v>
      </c>
      <c r="C267" t="s">
        <v>344</v>
      </c>
      <c r="D267" s="8">
        <v>114373</v>
      </c>
      <c r="E267" s="8">
        <v>113109</v>
      </c>
      <c r="F267" s="8">
        <v>8176</v>
      </c>
      <c r="G267" s="8">
        <v>8638</v>
      </c>
      <c r="H267" s="8">
        <v>8974</v>
      </c>
      <c r="I267" s="8">
        <v>8800</v>
      </c>
      <c r="J267" s="8">
        <v>7504</v>
      </c>
      <c r="K267" s="8">
        <v>8128</v>
      </c>
      <c r="L267" s="8">
        <v>9009</v>
      </c>
      <c r="M267" s="8">
        <v>8715</v>
      </c>
      <c r="N267" s="7">
        <f t="shared" si="8"/>
        <v>101.11750612241291</v>
      </c>
      <c r="O267" s="7">
        <f t="shared" si="9"/>
        <v>103.69348842786906</v>
      </c>
    </row>
    <row r="268" spans="1:15" x14ac:dyDescent="0.25">
      <c r="A268" s="57">
        <v>3601</v>
      </c>
      <c r="B268" t="s">
        <v>61</v>
      </c>
      <c r="C268" t="s">
        <v>345</v>
      </c>
      <c r="D268" s="8">
        <v>690780</v>
      </c>
      <c r="E268" s="8">
        <v>659723</v>
      </c>
      <c r="F268" s="8">
        <v>59745</v>
      </c>
      <c r="G268" s="8">
        <v>61789</v>
      </c>
      <c r="H268" s="8">
        <v>56768</v>
      </c>
      <c r="I268" s="8">
        <v>51414</v>
      </c>
      <c r="J268" s="8">
        <v>55824</v>
      </c>
      <c r="K268" s="8">
        <v>55333</v>
      </c>
      <c r="L268" s="8">
        <v>49566</v>
      </c>
      <c r="M268" s="8">
        <v>47675</v>
      </c>
      <c r="N268" s="7">
        <f t="shared" si="8"/>
        <v>104.70758181842984</v>
      </c>
      <c r="O268" s="7">
        <f t="shared" si="9"/>
        <v>110.22946477413412</v>
      </c>
    </row>
    <row r="269" spans="1:15" x14ac:dyDescent="0.25">
      <c r="A269" s="57">
        <v>3602</v>
      </c>
      <c r="B269" t="s">
        <v>61</v>
      </c>
      <c r="C269" t="s">
        <v>346</v>
      </c>
      <c r="D269" s="8">
        <v>758676</v>
      </c>
      <c r="E269" s="8">
        <v>719415</v>
      </c>
      <c r="F269" s="8">
        <v>64520</v>
      </c>
      <c r="G269" s="8">
        <v>67684</v>
      </c>
      <c r="H269" s="8">
        <v>61454</v>
      </c>
      <c r="I269" s="8">
        <v>58887</v>
      </c>
      <c r="J269" s="8">
        <v>60233</v>
      </c>
      <c r="K269" s="8">
        <v>60157</v>
      </c>
      <c r="L269" s="8">
        <v>54059</v>
      </c>
      <c r="M269" s="8">
        <v>56330</v>
      </c>
      <c r="N269" s="7">
        <f t="shared" si="8"/>
        <v>105.45735076416254</v>
      </c>
      <c r="O269" s="7">
        <f t="shared" si="9"/>
        <v>109.43153406505792</v>
      </c>
    </row>
    <row r="270" spans="1:15" x14ac:dyDescent="0.25">
      <c r="A270" s="57">
        <v>3603</v>
      </c>
      <c r="B270" t="s">
        <v>61</v>
      </c>
      <c r="C270" t="s">
        <v>347</v>
      </c>
      <c r="D270" s="8">
        <v>1766705</v>
      </c>
      <c r="E270" s="8">
        <v>1702234</v>
      </c>
      <c r="F270" s="8">
        <v>135363</v>
      </c>
      <c r="G270" s="8">
        <v>139521</v>
      </c>
      <c r="H270" s="8">
        <v>148869</v>
      </c>
      <c r="I270" s="8">
        <v>150653</v>
      </c>
      <c r="J270" s="8">
        <v>128418</v>
      </c>
      <c r="K270" s="8">
        <v>136461</v>
      </c>
      <c r="L270" s="8">
        <v>146539</v>
      </c>
      <c r="M270" s="8">
        <v>144373</v>
      </c>
      <c r="N270" s="7">
        <f t="shared" si="8"/>
        <v>103.78743463002149</v>
      </c>
      <c r="O270" s="7">
        <f t="shared" si="9"/>
        <v>103.34928057489236</v>
      </c>
    </row>
    <row r="271" spans="1:15" x14ac:dyDescent="0.25">
      <c r="A271" s="57">
        <v>3604</v>
      </c>
      <c r="B271" t="s">
        <v>61</v>
      </c>
      <c r="C271" t="s">
        <v>348</v>
      </c>
      <c r="D271" s="8">
        <v>885873</v>
      </c>
      <c r="E271" s="8">
        <v>852425</v>
      </c>
      <c r="F271" s="8">
        <v>71315</v>
      </c>
      <c r="G271" s="8">
        <v>78360</v>
      </c>
      <c r="H271" s="8">
        <v>75315</v>
      </c>
      <c r="I271" s="8">
        <v>75739</v>
      </c>
      <c r="J271" s="8">
        <v>68033</v>
      </c>
      <c r="K271" s="8">
        <v>73336</v>
      </c>
      <c r="L271" s="8">
        <v>70126</v>
      </c>
      <c r="M271" s="8">
        <v>70217</v>
      </c>
      <c r="N271" s="7">
        <f t="shared" si="8"/>
        <v>103.92386426958385</v>
      </c>
      <c r="O271" s="7">
        <f t="shared" si="9"/>
        <v>106.75051116033396</v>
      </c>
    </row>
    <row r="272" spans="1:15" x14ac:dyDescent="0.25">
      <c r="A272" s="57">
        <v>3671</v>
      </c>
      <c r="B272" t="s">
        <v>61</v>
      </c>
      <c r="C272" t="s">
        <v>349</v>
      </c>
      <c r="D272" s="8">
        <v>995376</v>
      </c>
      <c r="E272" s="8">
        <v>983913</v>
      </c>
      <c r="F272" s="8">
        <v>73190</v>
      </c>
      <c r="G272" s="8">
        <v>71884</v>
      </c>
      <c r="H272" s="8">
        <v>76573</v>
      </c>
      <c r="I272" s="8">
        <v>79006</v>
      </c>
      <c r="J272" s="8">
        <v>69118</v>
      </c>
      <c r="K272" s="8">
        <v>70915</v>
      </c>
      <c r="L272" s="8">
        <v>77795</v>
      </c>
      <c r="M272" s="8">
        <v>78796</v>
      </c>
      <c r="N272" s="7">
        <f t="shared" si="8"/>
        <v>101.1650420311552</v>
      </c>
      <c r="O272" s="7">
        <f t="shared" si="9"/>
        <v>101.35828523652839</v>
      </c>
    </row>
    <row r="273" spans="1:15" x14ac:dyDescent="0.25">
      <c r="A273" s="57">
        <v>3672</v>
      </c>
      <c r="B273" t="s">
        <v>61</v>
      </c>
      <c r="C273" t="s">
        <v>350</v>
      </c>
      <c r="D273" s="8">
        <v>235180</v>
      </c>
      <c r="E273" s="8">
        <v>229819</v>
      </c>
      <c r="F273" s="8">
        <v>17312</v>
      </c>
      <c r="G273" s="8">
        <v>18365</v>
      </c>
      <c r="H273" s="8">
        <v>18609</v>
      </c>
      <c r="I273" s="8">
        <v>18604</v>
      </c>
      <c r="J273" s="8">
        <v>16100</v>
      </c>
      <c r="K273" s="8">
        <v>18269</v>
      </c>
      <c r="L273" s="8">
        <v>18935</v>
      </c>
      <c r="M273" s="8">
        <v>18727</v>
      </c>
      <c r="N273" s="7">
        <f t="shared" si="8"/>
        <v>102.33270530286877</v>
      </c>
      <c r="O273" s="7">
        <f t="shared" si="9"/>
        <v>101.1925420999292</v>
      </c>
    </row>
    <row r="274" spans="1:15" x14ac:dyDescent="0.25">
      <c r="A274" s="57">
        <v>3673</v>
      </c>
      <c r="B274" t="s">
        <v>61</v>
      </c>
      <c r="C274" t="s">
        <v>351</v>
      </c>
      <c r="D274" s="8">
        <v>385354</v>
      </c>
      <c r="E274" s="8">
        <v>370791</v>
      </c>
      <c r="F274" s="8">
        <v>31913</v>
      </c>
      <c r="G274" s="8">
        <v>33585</v>
      </c>
      <c r="H274" s="8">
        <v>32776</v>
      </c>
      <c r="I274" s="8">
        <v>31833</v>
      </c>
      <c r="J274" s="8">
        <v>29859</v>
      </c>
      <c r="K274" s="8">
        <v>31962</v>
      </c>
      <c r="L274" s="8">
        <v>31705</v>
      </c>
      <c r="M274" s="8">
        <v>30500</v>
      </c>
      <c r="N274" s="7">
        <f t="shared" si="8"/>
        <v>103.92754948205322</v>
      </c>
      <c r="O274" s="7">
        <f t="shared" si="9"/>
        <v>104.90300420879493</v>
      </c>
    </row>
    <row r="275" spans="1:15" x14ac:dyDescent="0.25">
      <c r="A275" s="57">
        <v>3674</v>
      </c>
      <c r="B275" t="s">
        <v>61</v>
      </c>
      <c r="C275" t="s">
        <v>352</v>
      </c>
      <c r="D275" s="8">
        <v>699247</v>
      </c>
      <c r="E275" s="8">
        <v>705788</v>
      </c>
      <c r="F275" s="8">
        <v>53360</v>
      </c>
      <c r="G275" s="8">
        <v>52168</v>
      </c>
      <c r="H275" s="8">
        <v>52522</v>
      </c>
      <c r="I275" s="8">
        <v>52045</v>
      </c>
      <c r="J275" s="8">
        <v>50578</v>
      </c>
      <c r="K275" s="8">
        <v>50914</v>
      </c>
      <c r="L275" s="8">
        <v>53108</v>
      </c>
      <c r="M275" s="8">
        <v>55048</v>
      </c>
      <c r="N275" s="7">
        <f t="shared" si="8"/>
        <v>99.07323445567225</v>
      </c>
      <c r="O275" s="7">
        <f t="shared" si="9"/>
        <v>100.21321453102343</v>
      </c>
    </row>
    <row r="276" spans="1:15" x14ac:dyDescent="0.25">
      <c r="A276" s="57">
        <v>5101</v>
      </c>
      <c r="B276" t="s">
        <v>62</v>
      </c>
      <c r="C276" t="s">
        <v>353</v>
      </c>
      <c r="D276" s="8">
        <v>165056</v>
      </c>
      <c r="E276" s="8">
        <v>164647</v>
      </c>
      <c r="F276" s="8">
        <v>12327</v>
      </c>
      <c r="G276" s="8">
        <v>12190</v>
      </c>
      <c r="H276" s="8">
        <v>12049</v>
      </c>
      <c r="I276" s="8">
        <v>11880</v>
      </c>
      <c r="J276" s="8">
        <v>11646</v>
      </c>
      <c r="K276" s="8">
        <v>11142</v>
      </c>
      <c r="L276" s="8">
        <v>11579</v>
      </c>
      <c r="M276" s="8">
        <v>11809</v>
      </c>
      <c r="N276" s="7">
        <f t="shared" si="8"/>
        <v>100.24841023523052</v>
      </c>
      <c r="O276" s="7">
        <f t="shared" si="9"/>
        <v>104.91597366597367</v>
      </c>
    </row>
    <row r="277" spans="1:15" x14ac:dyDescent="0.25">
      <c r="A277" s="57">
        <v>5102</v>
      </c>
      <c r="B277" t="s">
        <v>62</v>
      </c>
      <c r="C277" t="s">
        <v>354</v>
      </c>
      <c r="D277" s="8">
        <v>233320</v>
      </c>
      <c r="E277" s="8">
        <v>237190</v>
      </c>
      <c r="F277" s="8">
        <v>15818</v>
      </c>
      <c r="G277" s="8">
        <v>16660</v>
      </c>
      <c r="H277" s="8">
        <v>16366</v>
      </c>
      <c r="I277" s="8">
        <v>15414</v>
      </c>
      <c r="J277" s="8">
        <v>15639</v>
      </c>
      <c r="K277" s="8">
        <v>17269</v>
      </c>
      <c r="L277" s="8">
        <v>16290</v>
      </c>
      <c r="M277" s="8">
        <v>15686</v>
      </c>
      <c r="N277" s="7">
        <f t="shared" si="8"/>
        <v>98.368396644040644</v>
      </c>
      <c r="O277" s="7">
        <f t="shared" si="9"/>
        <v>99.035201282288384</v>
      </c>
    </row>
    <row r="278" spans="1:15" x14ac:dyDescent="0.25">
      <c r="A278" s="57">
        <v>5103</v>
      </c>
      <c r="B278" t="s">
        <v>62</v>
      </c>
      <c r="C278" t="s">
        <v>355</v>
      </c>
      <c r="D278" s="8">
        <v>290155</v>
      </c>
      <c r="E278" s="8">
        <v>288636</v>
      </c>
      <c r="F278" s="8">
        <v>23641</v>
      </c>
      <c r="G278" s="8">
        <v>24337</v>
      </c>
      <c r="H278" s="8">
        <v>21764</v>
      </c>
      <c r="I278" s="8">
        <v>19945</v>
      </c>
      <c r="J278" s="8">
        <v>21378</v>
      </c>
      <c r="K278" s="8">
        <v>22678</v>
      </c>
      <c r="L278" s="8">
        <v>21690</v>
      </c>
      <c r="M278" s="8">
        <v>20164</v>
      </c>
      <c r="N278" s="7">
        <f t="shared" si="8"/>
        <v>100.52626837955071</v>
      </c>
      <c r="O278" s="7">
        <f t="shared" si="9"/>
        <v>104.39646141310675</v>
      </c>
    </row>
    <row r="279" spans="1:15" x14ac:dyDescent="0.25">
      <c r="A279" s="57">
        <v>5104</v>
      </c>
      <c r="B279" t="s">
        <v>62</v>
      </c>
      <c r="C279" t="s">
        <v>356</v>
      </c>
      <c r="D279" s="8">
        <v>264304</v>
      </c>
      <c r="E279" s="8">
        <v>268742</v>
      </c>
      <c r="F279" s="8">
        <v>19542</v>
      </c>
      <c r="G279" s="8">
        <v>19654</v>
      </c>
      <c r="H279" s="8">
        <v>19810</v>
      </c>
      <c r="I279" s="8">
        <v>17954</v>
      </c>
      <c r="J279" s="8">
        <v>19115</v>
      </c>
      <c r="K279" s="8">
        <v>19855</v>
      </c>
      <c r="L279" s="8">
        <v>20013</v>
      </c>
      <c r="M279" s="8">
        <v>18315</v>
      </c>
      <c r="N279" s="7">
        <f t="shared" si="8"/>
        <v>98.34860200489689</v>
      </c>
      <c r="O279" s="7">
        <f t="shared" si="9"/>
        <v>99.562731247897744</v>
      </c>
    </row>
    <row r="280" spans="1:15" x14ac:dyDescent="0.25">
      <c r="A280" s="57">
        <v>5105</v>
      </c>
      <c r="B280" t="s">
        <v>62</v>
      </c>
      <c r="C280" t="s">
        <v>357</v>
      </c>
      <c r="D280" s="8">
        <v>105545</v>
      </c>
      <c r="E280" s="8">
        <v>104815</v>
      </c>
      <c r="F280" s="8">
        <v>7895</v>
      </c>
      <c r="G280" s="8">
        <v>7689</v>
      </c>
      <c r="H280" s="8">
        <v>7947</v>
      </c>
      <c r="I280" s="8">
        <v>7529</v>
      </c>
      <c r="J280" s="8">
        <v>7393</v>
      </c>
      <c r="K280" s="8">
        <v>7188</v>
      </c>
      <c r="L280" s="8">
        <v>7005</v>
      </c>
      <c r="M280" s="8">
        <v>6868</v>
      </c>
      <c r="N280" s="7">
        <f t="shared" si="8"/>
        <v>100.69646520059152</v>
      </c>
      <c r="O280" s="7">
        <f t="shared" si="9"/>
        <v>109.15864201869685</v>
      </c>
    </row>
    <row r="281" spans="1:15" x14ac:dyDescent="0.25">
      <c r="A281" s="57">
        <v>5106</v>
      </c>
      <c r="B281" t="s">
        <v>62</v>
      </c>
      <c r="C281" t="s">
        <v>358</v>
      </c>
      <c r="D281" s="8">
        <v>132663</v>
      </c>
      <c r="E281" s="8">
        <v>131309</v>
      </c>
      <c r="F281" s="8">
        <v>10195</v>
      </c>
      <c r="G281" s="8">
        <v>9673</v>
      </c>
      <c r="H281" s="8">
        <v>9753</v>
      </c>
      <c r="I281" s="8">
        <v>9926</v>
      </c>
      <c r="J281" s="8">
        <v>9296</v>
      </c>
      <c r="K281" s="8">
        <v>9171</v>
      </c>
      <c r="L281" s="8">
        <v>9241</v>
      </c>
      <c r="M281" s="8">
        <v>9608</v>
      </c>
      <c r="N281" s="7">
        <f t="shared" si="8"/>
        <v>101.03115551866209</v>
      </c>
      <c r="O281" s="7">
        <f t="shared" si="9"/>
        <v>105.97866866759567</v>
      </c>
    </row>
    <row r="282" spans="1:15" x14ac:dyDescent="0.25">
      <c r="A282" s="57">
        <v>5107</v>
      </c>
      <c r="B282" t="s">
        <v>62</v>
      </c>
      <c r="C282" t="s">
        <v>359</v>
      </c>
      <c r="D282" s="8">
        <v>252486</v>
      </c>
      <c r="E282" s="8">
        <v>254269</v>
      </c>
      <c r="F282" s="8">
        <v>18735</v>
      </c>
      <c r="G282" s="8">
        <v>16819</v>
      </c>
      <c r="H282" s="8">
        <v>17616</v>
      </c>
      <c r="I282" s="8">
        <v>19705</v>
      </c>
      <c r="J282" s="8">
        <v>18085</v>
      </c>
      <c r="K282" s="8">
        <v>16846</v>
      </c>
      <c r="L282" s="8">
        <v>18102</v>
      </c>
      <c r="M282" s="8">
        <v>19776</v>
      </c>
      <c r="N282" s="7">
        <f t="shared" si="8"/>
        <v>99.298774132906487</v>
      </c>
      <c r="O282" s="7">
        <f t="shared" si="9"/>
        <v>100.09064813415924</v>
      </c>
    </row>
    <row r="283" spans="1:15" x14ac:dyDescent="0.25">
      <c r="A283" s="57">
        <v>5108</v>
      </c>
      <c r="B283" t="s">
        <v>62</v>
      </c>
      <c r="C283" t="s">
        <v>360</v>
      </c>
      <c r="D283" s="8">
        <v>414078</v>
      </c>
      <c r="E283" s="8">
        <v>411866</v>
      </c>
      <c r="F283" s="8">
        <v>32737</v>
      </c>
      <c r="G283" s="8">
        <v>31330</v>
      </c>
      <c r="H283" s="8">
        <v>31542</v>
      </c>
      <c r="I283" s="8">
        <v>31894</v>
      </c>
      <c r="J283" s="8">
        <v>31153</v>
      </c>
      <c r="K283" s="8">
        <v>29733</v>
      </c>
      <c r="L283" s="8">
        <v>29917</v>
      </c>
      <c r="M283" s="8">
        <v>30804</v>
      </c>
      <c r="N283" s="7">
        <f t="shared" si="8"/>
        <v>100.53706788130118</v>
      </c>
      <c r="O283" s="7">
        <f t="shared" si="9"/>
        <v>104.84840510825858</v>
      </c>
    </row>
    <row r="284" spans="1:15" x14ac:dyDescent="0.25">
      <c r="A284" s="57">
        <v>5171</v>
      </c>
      <c r="B284" t="s">
        <v>62</v>
      </c>
      <c r="C284" t="s">
        <v>361</v>
      </c>
      <c r="D284" s="8">
        <v>388473</v>
      </c>
      <c r="E284" s="8">
        <v>380689</v>
      </c>
      <c r="F284" s="8">
        <v>29307</v>
      </c>
      <c r="G284" s="8">
        <v>30506</v>
      </c>
      <c r="H284" s="8">
        <v>30285</v>
      </c>
      <c r="I284" s="8">
        <v>29162</v>
      </c>
      <c r="J284" s="8">
        <v>27173</v>
      </c>
      <c r="K284" s="8">
        <v>28737</v>
      </c>
      <c r="L284" s="8">
        <v>28971</v>
      </c>
      <c r="M284" s="8">
        <v>28883</v>
      </c>
      <c r="N284" s="7">
        <f t="shared" si="8"/>
        <v>102.04471366390939</v>
      </c>
      <c r="O284" s="7">
        <f t="shared" si="9"/>
        <v>104.83105376041631</v>
      </c>
    </row>
    <row r="285" spans="1:15" x14ac:dyDescent="0.25">
      <c r="A285" s="57">
        <v>5201</v>
      </c>
      <c r="B285" t="s">
        <v>63</v>
      </c>
      <c r="C285" t="s">
        <v>362</v>
      </c>
      <c r="D285" s="8">
        <v>395950</v>
      </c>
      <c r="E285" s="8">
        <v>391389</v>
      </c>
      <c r="F285" s="8">
        <v>28420</v>
      </c>
      <c r="G285" s="8">
        <v>30246</v>
      </c>
      <c r="H285" s="8">
        <v>32647</v>
      </c>
      <c r="I285" s="8">
        <v>32964</v>
      </c>
      <c r="J285" s="8">
        <v>27232</v>
      </c>
      <c r="K285" s="8">
        <v>30132</v>
      </c>
      <c r="L285" s="8">
        <v>32449</v>
      </c>
      <c r="M285" s="8">
        <v>31694</v>
      </c>
      <c r="N285" s="7">
        <f t="shared" si="8"/>
        <v>101.16533678769714</v>
      </c>
      <c r="O285" s="7">
        <f t="shared" si="9"/>
        <v>102.27970404997242</v>
      </c>
    </row>
    <row r="286" spans="1:15" x14ac:dyDescent="0.25">
      <c r="A286" s="57">
        <v>5202</v>
      </c>
      <c r="B286" t="s">
        <v>63</v>
      </c>
      <c r="C286" t="s">
        <v>363</v>
      </c>
      <c r="D286" s="8">
        <v>582343</v>
      </c>
      <c r="E286" s="8">
        <v>567284</v>
      </c>
      <c r="F286" s="8">
        <v>42337</v>
      </c>
      <c r="G286" s="8">
        <v>47272</v>
      </c>
      <c r="H286" s="8">
        <v>48878</v>
      </c>
      <c r="I286" s="8">
        <v>47185</v>
      </c>
      <c r="J286" s="8">
        <v>39166</v>
      </c>
      <c r="K286" s="8">
        <v>43178</v>
      </c>
      <c r="L286" s="8">
        <v>44821</v>
      </c>
      <c r="M286" s="8">
        <v>45812</v>
      </c>
      <c r="N286" s="7">
        <f t="shared" si="8"/>
        <v>102.65457865901382</v>
      </c>
      <c r="O286" s="7">
        <f t="shared" si="9"/>
        <v>107.33912601097255</v>
      </c>
    </row>
    <row r="287" spans="1:15" x14ac:dyDescent="0.25">
      <c r="A287" s="57">
        <v>5203</v>
      </c>
      <c r="B287" t="s">
        <v>63</v>
      </c>
      <c r="C287" t="s">
        <v>364</v>
      </c>
      <c r="D287" s="8">
        <v>738484</v>
      </c>
      <c r="E287" s="8">
        <v>721533</v>
      </c>
      <c r="F287" s="8">
        <v>56625</v>
      </c>
      <c r="G287" s="8">
        <v>56658</v>
      </c>
      <c r="H287" s="8">
        <v>56900</v>
      </c>
      <c r="I287" s="8">
        <v>57684</v>
      </c>
      <c r="J287" s="8">
        <v>53855</v>
      </c>
      <c r="K287" s="8">
        <v>52933</v>
      </c>
      <c r="L287" s="8">
        <v>54668</v>
      </c>
      <c r="M287" s="8">
        <v>55802</v>
      </c>
      <c r="N287" s="7">
        <f t="shared" si="8"/>
        <v>102.34930349686016</v>
      </c>
      <c r="O287" s="7">
        <f t="shared" si="9"/>
        <v>104.88313433797605</v>
      </c>
    </row>
    <row r="288" spans="1:15" x14ac:dyDescent="0.25">
      <c r="A288" s="57">
        <v>5204</v>
      </c>
      <c r="B288" t="s">
        <v>63</v>
      </c>
      <c r="C288" t="s">
        <v>365</v>
      </c>
      <c r="D288" s="8">
        <v>272757</v>
      </c>
      <c r="E288" s="8">
        <v>277927</v>
      </c>
      <c r="F288" s="8">
        <v>21872</v>
      </c>
      <c r="G288" s="8">
        <v>22042</v>
      </c>
      <c r="H288" s="8">
        <v>20909</v>
      </c>
      <c r="I288" s="8">
        <v>19785</v>
      </c>
      <c r="J288" s="8">
        <v>20660</v>
      </c>
      <c r="K288" s="8">
        <v>21643</v>
      </c>
      <c r="L288" s="8">
        <v>20701</v>
      </c>
      <c r="M288" s="8">
        <v>20682</v>
      </c>
      <c r="N288" s="7">
        <f t="shared" si="8"/>
        <v>98.139799299816147</v>
      </c>
      <c r="O288" s="7">
        <f t="shared" si="9"/>
        <v>101.10173744712377</v>
      </c>
    </row>
    <row r="289" spans="1:15" x14ac:dyDescent="0.25">
      <c r="A289" s="57">
        <v>5205</v>
      </c>
      <c r="B289" t="s">
        <v>63</v>
      </c>
      <c r="C289" t="s">
        <v>366</v>
      </c>
      <c r="D289" s="8">
        <v>129855</v>
      </c>
      <c r="E289" s="8">
        <v>128494</v>
      </c>
      <c r="F289" s="8">
        <v>10065</v>
      </c>
      <c r="G289" s="8">
        <v>10686</v>
      </c>
      <c r="H289" s="8">
        <v>10327</v>
      </c>
      <c r="I289" s="8">
        <v>9216</v>
      </c>
      <c r="J289" s="8">
        <v>9135</v>
      </c>
      <c r="K289" s="8">
        <v>10368</v>
      </c>
      <c r="L289" s="8">
        <v>9876</v>
      </c>
      <c r="M289" s="8">
        <v>9310</v>
      </c>
      <c r="N289" s="7">
        <f t="shared" si="8"/>
        <v>101.05919342537395</v>
      </c>
      <c r="O289" s="7">
        <f t="shared" si="9"/>
        <v>104.14846597224016</v>
      </c>
    </row>
    <row r="290" spans="1:15" x14ac:dyDescent="0.25">
      <c r="A290" s="57">
        <v>5206</v>
      </c>
      <c r="B290" t="s">
        <v>63</v>
      </c>
      <c r="C290" t="s">
        <v>367</v>
      </c>
      <c r="D290" s="8">
        <v>280884</v>
      </c>
      <c r="E290" s="8">
        <v>278465</v>
      </c>
      <c r="F290" s="8">
        <v>25762</v>
      </c>
      <c r="G290" s="8">
        <v>24977</v>
      </c>
      <c r="H290" s="8">
        <v>22248</v>
      </c>
      <c r="I290" s="8">
        <v>20242</v>
      </c>
      <c r="J290" s="8">
        <v>23815</v>
      </c>
      <c r="K290" s="8">
        <v>24503</v>
      </c>
      <c r="L290" s="8">
        <v>21484</v>
      </c>
      <c r="M290" s="8">
        <v>19784</v>
      </c>
      <c r="N290" s="7">
        <f t="shared" si="8"/>
        <v>100.86869085881528</v>
      </c>
      <c r="O290" s="7">
        <f t="shared" si="9"/>
        <v>104.06648360234858</v>
      </c>
    </row>
    <row r="291" spans="1:15" x14ac:dyDescent="0.25">
      <c r="A291" s="57">
        <v>5207</v>
      </c>
      <c r="B291" t="s">
        <v>63</v>
      </c>
      <c r="C291" t="s">
        <v>368</v>
      </c>
      <c r="D291" s="8">
        <v>80642</v>
      </c>
      <c r="E291" s="8">
        <v>80090</v>
      </c>
      <c r="F291" s="8">
        <v>5902</v>
      </c>
      <c r="G291" s="8">
        <v>5832</v>
      </c>
      <c r="H291" s="8">
        <v>5914</v>
      </c>
      <c r="I291" s="8">
        <v>5761</v>
      </c>
      <c r="J291" s="8">
        <v>5771</v>
      </c>
      <c r="K291" s="8">
        <v>5420</v>
      </c>
      <c r="L291" s="8">
        <v>5695</v>
      </c>
      <c r="M291" s="8">
        <v>5657</v>
      </c>
      <c r="N291" s="7">
        <f t="shared" si="8"/>
        <v>100.68922462229992</v>
      </c>
      <c r="O291" s="7">
        <f t="shared" si="9"/>
        <v>103.84154726522645</v>
      </c>
    </row>
    <row r="292" spans="1:15" x14ac:dyDescent="0.25">
      <c r="A292" s="57">
        <v>5208</v>
      </c>
      <c r="B292" t="s">
        <v>63</v>
      </c>
      <c r="C292" t="s">
        <v>369</v>
      </c>
      <c r="D292" s="8">
        <v>134821</v>
      </c>
      <c r="E292" s="8">
        <v>133940</v>
      </c>
      <c r="F292" s="8">
        <v>10372</v>
      </c>
      <c r="G292" s="8">
        <v>10586</v>
      </c>
      <c r="H292" s="8">
        <v>10737</v>
      </c>
      <c r="I292" s="8">
        <v>10954</v>
      </c>
      <c r="J292" s="8">
        <v>9985</v>
      </c>
      <c r="K292" s="8">
        <v>10341</v>
      </c>
      <c r="L292" s="8">
        <v>10463</v>
      </c>
      <c r="M292" s="8">
        <v>10968</v>
      </c>
      <c r="N292" s="7">
        <f t="shared" si="8"/>
        <v>100.65775720471852</v>
      </c>
      <c r="O292" s="7">
        <f t="shared" si="9"/>
        <v>102.13616878607179</v>
      </c>
    </row>
    <row r="293" spans="1:15" x14ac:dyDescent="0.25">
      <c r="A293" s="57">
        <v>5271</v>
      </c>
      <c r="B293" t="s">
        <v>63</v>
      </c>
      <c r="C293" t="s">
        <v>370</v>
      </c>
      <c r="D293" s="8">
        <v>225218</v>
      </c>
      <c r="E293" s="8">
        <v>227192</v>
      </c>
      <c r="F293" s="8">
        <v>17611</v>
      </c>
      <c r="G293" s="8">
        <v>18031</v>
      </c>
      <c r="H293" s="8">
        <v>16707</v>
      </c>
      <c r="I293" s="8">
        <v>16535</v>
      </c>
      <c r="J293" s="8">
        <v>16885</v>
      </c>
      <c r="K293" s="8">
        <v>17011</v>
      </c>
      <c r="L293" s="8">
        <v>16135</v>
      </c>
      <c r="M293" s="8">
        <v>16714</v>
      </c>
      <c r="N293" s="7">
        <f t="shared" si="8"/>
        <v>99.131131377865415</v>
      </c>
      <c r="O293" s="7">
        <f t="shared" si="9"/>
        <v>103.20473443703648</v>
      </c>
    </row>
    <row r="294" spans="1:15" x14ac:dyDescent="0.25">
      <c r="A294" s="57">
        <v>5272</v>
      </c>
      <c r="B294" t="s">
        <v>63</v>
      </c>
      <c r="C294" t="s">
        <v>371</v>
      </c>
      <c r="D294" s="8">
        <v>83354</v>
      </c>
      <c r="E294" s="8">
        <v>84706</v>
      </c>
      <c r="F294" s="8">
        <v>6034</v>
      </c>
      <c r="G294" s="8">
        <v>6256</v>
      </c>
      <c r="H294" s="8">
        <v>6333</v>
      </c>
      <c r="I294" s="8">
        <v>6477</v>
      </c>
      <c r="J294" s="8">
        <v>6148</v>
      </c>
      <c r="K294" s="8">
        <v>6452</v>
      </c>
      <c r="L294" s="8">
        <v>6528</v>
      </c>
      <c r="M294" s="8">
        <v>6290</v>
      </c>
      <c r="N294" s="7">
        <f t="shared" si="8"/>
        <v>98.403891105706805</v>
      </c>
      <c r="O294" s="7">
        <f t="shared" si="9"/>
        <v>98.748918089542855</v>
      </c>
    </row>
    <row r="295" spans="1:15" x14ac:dyDescent="0.25">
      <c r="A295" s="57">
        <v>5301</v>
      </c>
      <c r="B295" t="s">
        <v>64</v>
      </c>
      <c r="C295" t="s">
        <v>372</v>
      </c>
      <c r="D295" s="8">
        <v>81802</v>
      </c>
      <c r="E295" s="8">
        <v>78370</v>
      </c>
      <c r="F295" s="8">
        <v>7283</v>
      </c>
      <c r="G295" s="8">
        <v>7235</v>
      </c>
      <c r="H295" s="8">
        <v>6543</v>
      </c>
      <c r="I295" s="8">
        <v>5808</v>
      </c>
      <c r="J295" s="8">
        <v>6556</v>
      </c>
      <c r="K295" s="8">
        <v>6798</v>
      </c>
      <c r="L295" s="8">
        <v>6290</v>
      </c>
      <c r="M295" s="8">
        <v>5414</v>
      </c>
      <c r="N295" s="7">
        <f t="shared" si="8"/>
        <v>104.37922674492791</v>
      </c>
      <c r="O295" s="7">
        <f t="shared" si="9"/>
        <v>107.22723281985793</v>
      </c>
    </row>
    <row r="296" spans="1:15" x14ac:dyDescent="0.25">
      <c r="A296" s="57">
        <v>5302</v>
      </c>
      <c r="B296" t="s">
        <v>64</v>
      </c>
      <c r="C296" t="s">
        <v>373</v>
      </c>
      <c r="D296" s="8">
        <v>136454</v>
      </c>
      <c r="E296" s="8">
        <v>130201</v>
      </c>
      <c r="F296" s="8">
        <v>10004</v>
      </c>
      <c r="G296" s="8">
        <v>10865</v>
      </c>
      <c r="H296" s="8">
        <v>10856</v>
      </c>
      <c r="I296" s="8">
        <v>9550</v>
      </c>
      <c r="J296" s="8">
        <v>9302</v>
      </c>
      <c r="K296" s="8">
        <v>10294</v>
      </c>
      <c r="L296" s="8">
        <v>10195</v>
      </c>
      <c r="M296" s="8">
        <v>8905</v>
      </c>
      <c r="N296" s="7">
        <f t="shared" si="8"/>
        <v>104.80257448099476</v>
      </c>
      <c r="O296" s="7">
        <f t="shared" si="9"/>
        <v>106.66477155261526</v>
      </c>
    </row>
    <row r="297" spans="1:15" x14ac:dyDescent="0.25">
      <c r="A297" s="57">
        <v>5303</v>
      </c>
      <c r="B297" t="s">
        <v>64</v>
      </c>
      <c r="C297" t="s">
        <v>374</v>
      </c>
      <c r="D297" s="8">
        <v>195430</v>
      </c>
      <c r="E297" s="8">
        <v>190923</v>
      </c>
      <c r="F297" s="8">
        <v>17392</v>
      </c>
      <c r="G297" s="8">
        <v>16500</v>
      </c>
      <c r="H297" s="8">
        <v>15915</v>
      </c>
      <c r="I297" s="8">
        <v>15389</v>
      </c>
      <c r="J297" s="8">
        <v>16218</v>
      </c>
      <c r="K297" s="8">
        <v>14894</v>
      </c>
      <c r="L297" s="8">
        <v>15314</v>
      </c>
      <c r="M297" s="8">
        <v>15410</v>
      </c>
      <c r="N297" s="7">
        <f t="shared" si="8"/>
        <v>102.36063753450344</v>
      </c>
      <c r="O297" s="7">
        <f t="shared" si="9"/>
        <v>105.4337279254803</v>
      </c>
    </row>
    <row r="298" spans="1:15" x14ac:dyDescent="0.25">
      <c r="A298" s="57">
        <v>5304</v>
      </c>
      <c r="B298" t="s">
        <v>64</v>
      </c>
      <c r="C298" t="s">
        <v>375</v>
      </c>
      <c r="D298" s="8">
        <v>245253</v>
      </c>
      <c r="E298" s="8">
        <v>249439</v>
      </c>
      <c r="F298" s="8">
        <v>21696</v>
      </c>
      <c r="G298" s="8">
        <v>19510</v>
      </c>
      <c r="H298" s="8">
        <v>18436</v>
      </c>
      <c r="I298" s="8">
        <v>14769</v>
      </c>
      <c r="J298" s="8">
        <v>20795</v>
      </c>
      <c r="K298" s="8">
        <v>19111</v>
      </c>
      <c r="L298" s="8">
        <v>18632</v>
      </c>
      <c r="M298" s="8">
        <v>16371</v>
      </c>
      <c r="N298" s="7">
        <f t="shared" si="8"/>
        <v>98.321834195935679</v>
      </c>
      <c r="O298" s="7">
        <f t="shared" si="9"/>
        <v>99.33519336795311</v>
      </c>
    </row>
    <row r="299" spans="1:15" x14ac:dyDescent="0.25">
      <c r="A299" s="57">
        <v>5305</v>
      </c>
      <c r="B299" t="s">
        <v>64</v>
      </c>
      <c r="C299" t="s">
        <v>376</v>
      </c>
      <c r="D299" s="8">
        <v>142517</v>
      </c>
      <c r="E299" s="8">
        <v>141338</v>
      </c>
      <c r="F299" s="8">
        <v>12560</v>
      </c>
      <c r="G299" s="8">
        <v>11688</v>
      </c>
      <c r="H299" s="8">
        <v>11458</v>
      </c>
      <c r="I299" s="8">
        <v>9150</v>
      </c>
      <c r="J299" s="8">
        <v>12018</v>
      </c>
      <c r="K299" s="8">
        <v>11014</v>
      </c>
      <c r="L299" s="8">
        <v>10555</v>
      </c>
      <c r="M299" s="8">
        <v>9276</v>
      </c>
      <c r="N299" s="7">
        <f t="shared" si="8"/>
        <v>100.83417056983967</v>
      </c>
      <c r="O299" s="7">
        <f t="shared" si="9"/>
        <v>104.6496978746238</v>
      </c>
    </row>
    <row r="300" spans="1:15" x14ac:dyDescent="0.25">
      <c r="A300" s="57">
        <v>5306</v>
      </c>
      <c r="B300" t="s">
        <v>64</v>
      </c>
      <c r="C300" t="s">
        <v>377</v>
      </c>
      <c r="D300" s="8">
        <v>122480</v>
      </c>
      <c r="E300" s="8">
        <v>122574</v>
      </c>
      <c r="F300" s="8">
        <v>10666</v>
      </c>
      <c r="G300" s="8">
        <v>10615</v>
      </c>
      <c r="H300" s="8">
        <v>11148</v>
      </c>
      <c r="I300" s="8">
        <v>9817</v>
      </c>
      <c r="J300" s="8">
        <v>10177</v>
      </c>
      <c r="K300" s="8">
        <v>10703</v>
      </c>
      <c r="L300" s="8">
        <v>11374</v>
      </c>
      <c r="M300" s="8">
        <v>9910</v>
      </c>
      <c r="N300" s="7">
        <f t="shared" si="8"/>
        <v>99.923311632156896</v>
      </c>
      <c r="O300" s="7">
        <f t="shared" si="9"/>
        <v>100.1944787022104</v>
      </c>
    </row>
    <row r="301" spans="1:15" x14ac:dyDescent="0.25">
      <c r="A301" s="57">
        <v>5307</v>
      </c>
      <c r="B301" t="s">
        <v>64</v>
      </c>
      <c r="C301" t="s">
        <v>378</v>
      </c>
      <c r="D301" s="8">
        <v>114993</v>
      </c>
      <c r="E301" s="8">
        <v>116977</v>
      </c>
      <c r="F301" s="8">
        <v>9192</v>
      </c>
      <c r="G301" s="8">
        <v>9469</v>
      </c>
      <c r="H301" s="8">
        <v>9078</v>
      </c>
      <c r="I301" s="8">
        <v>8209</v>
      </c>
      <c r="J301" s="8">
        <v>8280</v>
      </c>
      <c r="K301" s="8">
        <v>8999</v>
      </c>
      <c r="L301" s="8">
        <v>9474</v>
      </c>
      <c r="M301" s="8">
        <v>8578</v>
      </c>
      <c r="N301" s="7">
        <f t="shared" si="8"/>
        <v>98.30394009078708</v>
      </c>
      <c r="O301" s="7">
        <f t="shared" si="9"/>
        <v>101.74634173954884</v>
      </c>
    </row>
    <row r="302" spans="1:15" x14ac:dyDescent="0.25">
      <c r="A302" s="57">
        <v>5308</v>
      </c>
      <c r="B302" t="s">
        <v>64</v>
      </c>
      <c r="C302" t="s">
        <v>379</v>
      </c>
      <c r="D302" s="8">
        <v>71473</v>
      </c>
      <c r="E302" s="8">
        <v>75729</v>
      </c>
      <c r="F302" s="8">
        <v>5376</v>
      </c>
      <c r="G302" s="8">
        <v>5447</v>
      </c>
      <c r="H302" s="8">
        <v>4962</v>
      </c>
      <c r="I302" s="8">
        <v>4283</v>
      </c>
      <c r="J302" s="8">
        <v>5065</v>
      </c>
      <c r="K302" s="8">
        <v>5379</v>
      </c>
      <c r="L302" s="8">
        <v>5061</v>
      </c>
      <c r="M302" s="8">
        <v>4762</v>
      </c>
      <c r="N302" s="7">
        <f t="shared" si="8"/>
        <v>94.379960120957634</v>
      </c>
      <c r="O302" s="7">
        <f t="shared" si="9"/>
        <v>99.018108254798449</v>
      </c>
    </row>
    <row r="303" spans="1:15" x14ac:dyDescent="0.25">
      <c r="A303" s="57">
        <v>5309</v>
      </c>
      <c r="B303" t="s">
        <v>64</v>
      </c>
      <c r="C303" t="s">
        <v>380</v>
      </c>
      <c r="D303" s="8">
        <v>148309</v>
      </c>
      <c r="E303" s="8">
        <v>152688</v>
      </c>
      <c r="F303" s="8">
        <v>12023</v>
      </c>
      <c r="G303" s="8">
        <v>12995</v>
      </c>
      <c r="H303" s="8">
        <v>12515</v>
      </c>
      <c r="I303" s="8">
        <v>10275</v>
      </c>
      <c r="J303" s="8">
        <v>11724</v>
      </c>
      <c r="K303" s="8">
        <v>12342</v>
      </c>
      <c r="L303" s="8">
        <v>11940</v>
      </c>
      <c r="M303" s="8">
        <v>10046</v>
      </c>
      <c r="N303" s="7">
        <f t="shared" si="8"/>
        <v>97.132060148800164</v>
      </c>
      <c r="O303" s="7">
        <f t="shared" si="9"/>
        <v>103.81308086510901</v>
      </c>
    </row>
    <row r="304" spans="1:15" x14ac:dyDescent="0.25">
      <c r="A304" s="57">
        <v>5310</v>
      </c>
      <c r="B304" t="s">
        <v>64</v>
      </c>
      <c r="C304" t="s">
        <v>381</v>
      </c>
      <c r="D304" s="8">
        <v>171009</v>
      </c>
      <c r="E304" s="8">
        <v>179334</v>
      </c>
      <c r="F304" s="8">
        <v>13652</v>
      </c>
      <c r="G304" s="8">
        <v>14708</v>
      </c>
      <c r="H304" s="8">
        <v>13426</v>
      </c>
      <c r="I304" s="8">
        <v>11763</v>
      </c>
      <c r="J304" s="8">
        <v>13058</v>
      </c>
      <c r="K304" s="8">
        <v>14372</v>
      </c>
      <c r="L304" s="8">
        <v>13244</v>
      </c>
      <c r="M304" s="8">
        <v>11843</v>
      </c>
      <c r="N304" s="7">
        <f t="shared" si="8"/>
        <v>95.357823948609848</v>
      </c>
      <c r="O304" s="7">
        <f t="shared" si="9"/>
        <v>101.96507797475103</v>
      </c>
    </row>
    <row r="305" spans="1:15" x14ac:dyDescent="0.25">
      <c r="A305" s="57">
        <v>5311</v>
      </c>
      <c r="B305" t="s">
        <v>64</v>
      </c>
      <c r="C305" t="s">
        <v>382</v>
      </c>
      <c r="D305" s="8">
        <v>140793</v>
      </c>
      <c r="E305" s="8">
        <v>146118</v>
      </c>
      <c r="F305" s="8">
        <v>11796</v>
      </c>
      <c r="G305" s="8">
        <v>12347</v>
      </c>
      <c r="H305" s="8">
        <v>11641</v>
      </c>
      <c r="I305" s="8">
        <v>10473</v>
      </c>
      <c r="J305" s="8">
        <v>11260</v>
      </c>
      <c r="K305" s="8">
        <v>11903</v>
      </c>
      <c r="L305" s="8">
        <v>11319</v>
      </c>
      <c r="M305" s="8">
        <v>10460</v>
      </c>
      <c r="N305" s="7">
        <f t="shared" si="8"/>
        <v>96.35568513119533</v>
      </c>
      <c r="O305" s="7">
        <f t="shared" si="9"/>
        <v>102.92599350273686</v>
      </c>
    </row>
    <row r="306" spans="1:15" x14ac:dyDescent="0.25">
      <c r="A306" s="57">
        <v>5312</v>
      </c>
      <c r="B306" t="s">
        <v>64</v>
      </c>
      <c r="C306" t="s">
        <v>383</v>
      </c>
      <c r="D306" s="8">
        <v>88229</v>
      </c>
      <c r="E306" s="8">
        <v>90614</v>
      </c>
      <c r="F306" s="8">
        <v>7828</v>
      </c>
      <c r="G306" s="8">
        <v>7826</v>
      </c>
      <c r="H306" s="8">
        <v>7012</v>
      </c>
      <c r="I306" s="8">
        <v>5649</v>
      </c>
      <c r="J306" s="8">
        <v>7601</v>
      </c>
      <c r="K306" s="8">
        <v>7821</v>
      </c>
      <c r="L306" s="8">
        <v>6691</v>
      </c>
      <c r="M306" s="8">
        <v>5841</v>
      </c>
      <c r="N306" s="7">
        <f t="shared" si="8"/>
        <v>97.36795638643035</v>
      </c>
      <c r="O306" s="7">
        <f t="shared" si="9"/>
        <v>101.29140731201258</v>
      </c>
    </row>
    <row r="307" spans="1:15" x14ac:dyDescent="0.25">
      <c r="A307" s="57">
        <v>5313</v>
      </c>
      <c r="B307" t="s">
        <v>64</v>
      </c>
      <c r="C307" t="s">
        <v>384</v>
      </c>
      <c r="D307" s="8">
        <v>173055</v>
      </c>
      <c r="E307" s="8">
        <v>172771</v>
      </c>
      <c r="F307" s="8">
        <v>15345</v>
      </c>
      <c r="G307" s="8">
        <v>16219</v>
      </c>
      <c r="H307" s="8">
        <v>13512</v>
      </c>
      <c r="I307" s="8">
        <v>11004</v>
      </c>
      <c r="J307" s="8">
        <v>14925</v>
      </c>
      <c r="K307" s="8">
        <v>15222</v>
      </c>
      <c r="L307" s="8">
        <v>12885</v>
      </c>
      <c r="M307" s="8">
        <v>11422</v>
      </c>
      <c r="N307" s="7">
        <f t="shared" si="8"/>
        <v>100.16437943867895</v>
      </c>
      <c r="O307" s="7">
        <f t="shared" si="9"/>
        <v>102.98600653762809</v>
      </c>
    </row>
    <row r="308" spans="1:15" x14ac:dyDescent="0.25">
      <c r="A308" s="57">
        <v>5314</v>
      </c>
      <c r="B308" t="s">
        <v>64</v>
      </c>
      <c r="C308" t="s">
        <v>385</v>
      </c>
      <c r="D308" s="8">
        <v>79377</v>
      </c>
      <c r="E308" s="8">
        <v>78411</v>
      </c>
      <c r="F308" s="8">
        <v>6304</v>
      </c>
      <c r="G308" s="8">
        <v>5563</v>
      </c>
      <c r="H308" s="8">
        <v>5716</v>
      </c>
      <c r="I308" s="8">
        <v>5762</v>
      </c>
      <c r="J308" s="8">
        <v>5934</v>
      </c>
      <c r="K308" s="8">
        <v>5622</v>
      </c>
      <c r="L308" s="8">
        <v>6022</v>
      </c>
      <c r="M308" s="8">
        <v>6008</v>
      </c>
      <c r="N308" s="7">
        <f t="shared" si="8"/>
        <v>101.23197000420858</v>
      </c>
      <c r="O308" s="7">
        <f t="shared" si="9"/>
        <v>98.978207411176129</v>
      </c>
    </row>
    <row r="309" spans="1:15" x14ac:dyDescent="0.25">
      <c r="A309" s="57">
        <v>5315</v>
      </c>
      <c r="B309" t="s">
        <v>64</v>
      </c>
      <c r="C309" t="s">
        <v>386</v>
      </c>
      <c r="D309" s="8">
        <v>143916</v>
      </c>
      <c r="E309" s="8">
        <v>143226</v>
      </c>
      <c r="F309" s="8">
        <v>12544</v>
      </c>
      <c r="G309" s="8">
        <v>12967</v>
      </c>
      <c r="H309" s="8">
        <v>11373</v>
      </c>
      <c r="I309" s="8">
        <v>9374</v>
      </c>
      <c r="J309" s="8">
        <v>11886</v>
      </c>
      <c r="K309" s="8">
        <v>13184</v>
      </c>
      <c r="L309" s="8">
        <v>11701</v>
      </c>
      <c r="M309" s="8">
        <v>9656</v>
      </c>
      <c r="N309" s="7">
        <f t="shared" si="8"/>
        <v>100.481756105735</v>
      </c>
      <c r="O309" s="7">
        <f t="shared" si="9"/>
        <v>99.63598767958301</v>
      </c>
    </row>
    <row r="310" spans="1:15" x14ac:dyDescent="0.25">
      <c r="A310" s="57">
        <v>5316</v>
      </c>
      <c r="B310" t="s">
        <v>64</v>
      </c>
      <c r="C310" t="s">
        <v>387</v>
      </c>
      <c r="D310" s="8">
        <v>49206</v>
      </c>
      <c r="E310" s="8">
        <v>46830</v>
      </c>
      <c r="F310" s="8">
        <v>4117</v>
      </c>
      <c r="G310" s="8">
        <v>4128</v>
      </c>
      <c r="H310" s="8">
        <v>3631</v>
      </c>
      <c r="I310" s="8">
        <v>3363</v>
      </c>
      <c r="J310" s="8">
        <v>3781</v>
      </c>
      <c r="K310" s="8">
        <v>3766</v>
      </c>
      <c r="L310" s="8">
        <v>3661</v>
      </c>
      <c r="M310" s="8">
        <v>3121</v>
      </c>
      <c r="N310" s="7">
        <f t="shared" si="8"/>
        <v>105.07367072389494</v>
      </c>
      <c r="O310" s="7">
        <f t="shared" si="9"/>
        <v>106.35075720566682</v>
      </c>
    </row>
    <row r="311" spans="1:15" x14ac:dyDescent="0.25">
      <c r="A311" s="57">
        <v>5317</v>
      </c>
      <c r="B311" t="s">
        <v>64</v>
      </c>
      <c r="C311" t="s">
        <v>388</v>
      </c>
      <c r="D311" s="8">
        <v>174894</v>
      </c>
      <c r="E311" s="8">
        <v>167393</v>
      </c>
      <c r="F311" s="8">
        <v>14740</v>
      </c>
      <c r="G311" s="8">
        <v>14445</v>
      </c>
      <c r="H311" s="8">
        <v>12135</v>
      </c>
      <c r="I311" s="8">
        <v>10893</v>
      </c>
      <c r="J311" s="8">
        <v>13705</v>
      </c>
      <c r="K311" s="8">
        <v>13971</v>
      </c>
      <c r="L311" s="8">
        <v>11830</v>
      </c>
      <c r="M311" s="8">
        <v>10600</v>
      </c>
      <c r="N311" s="7">
        <f t="shared" si="8"/>
        <v>104.48107149044463</v>
      </c>
      <c r="O311" s="7">
        <f t="shared" si="9"/>
        <v>104.205085219335</v>
      </c>
    </row>
    <row r="312" spans="1:15" x14ac:dyDescent="0.25">
      <c r="A312" s="57">
        <v>5318</v>
      </c>
      <c r="B312" t="s">
        <v>64</v>
      </c>
      <c r="C312" t="s">
        <v>389</v>
      </c>
      <c r="D312" s="8">
        <v>85472</v>
      </c>
      <c r="E312" s="8">
        <v>87502</v>
      </c>
      <c r="F312" s="8">
        <v>7084</v>
      </c>
      <c r="G312" s="8">
        <v>7391</v>
      </c>
      <c r="H312" s="8">
        <v>7128</v>
      </c>
      <c r="I312" s="8">
        <v>5787</v>
      </c>
      <c r="J312" s="8">
        <v>6648</v>
      </c>
      <c r="K312" s="8">
        <v>6987</v>
      </c>
      <c r="L312" s="8">
        <v>6842</v>
      </c>
      <c r="M312" s="8">
        <v>5972</v>
      </c>
      <c r="N312" s="7">
        <f t="shared" si="8"/>
        <v>97.680053027359364</v>
      </c>
      <c r="O312" s="7">
        <f t="shared" si="9"/>
        <v>103.55779046466785</v>
      </c>
    </row>
    <row r="313" spans="1:15" x14ac:dyDescent="0.25">
      <c r="A313" s="57">
        <v>5319</v>
      </c>
      <c r="B313" t="s">
        <v>64</v>
      </c>
      <c r="C313" t="s">
        <v>390</v>
      </c>
      <c r="D313" s="8">
        <v>155058</v>
      </c>
      <c r="E313" s="8">
        <v>151780</v>
      </c>
      <c r="F313" s="8">
        <v>13132</v>
      </c>
      <c r="G313" s="8">
        <v>14015</v>
      </c>
      <c r="H313" s="8">
        <v>11931</v>
      </c>
      <c r="I313" s="8">
        <v>9582</v>
      </c>
      <c r="J313" s="8">
        <v>12315</v>
      </c>
      <c r="K313" s="8">
        <v>12770</v>
      </c>
      <c r="L313" s="8">
        <v>11333</v>
      </c>
      <c r="M313" s="8">
        <v>10201</v>
      </c>
      <c r="N313" s="7">
        <f t="shared" si="8"/>
        <v>102.15970483594677</v>
      </c>
      <c r="O313" s="7">
        <f t="shared" si="9"/>
        <v>104.37804328707179</v>
      </c>
    </row>
    <row r="314" spans="1:15" x14ac:dyDescent="0.25">
      <c r="A314" s="57">
        <v>5320</v>
      </c>
      <c r="B314" t="s">
        <v>64</v>
      </c>
      <c r="C314" t="s">
        <v>391</v>
      </c>
      <c r="D314" s="8">
        <v>49686</v>
      </c>
      <c r="E314" s="8">
        <v>48056</v>
      </c>
      <c r="F314" s="8">
        <v>3904</v>
      </c>
      <c r="G314" s="8">
        <v>3829</v>
      </c>
      <c r="H314" s="8">
        <v>3992</v>
      </c>
      <c r="I314" s="8">
        <v>3548</v>
      </c>
      <c r="J314" s="8">
        <v>3547</v>
      </c>
      <c r="K314" s="8">
        <v>3769</v>
      </c>
      <c r="L314" s="8">
        <v>3775</v>
      </c>
      <c r="M314" s="8">
        <v>3304</v>
      </c>
      <c r="N314" s="7">
        <f t="shared" si="8"/>
        <v>103.3918761444981</v>
      </c>
      <c r="O314" s="7">
        <f t="shared" si="9"/>
        <v>106.09934004862799</v>
      </c>
    </row>
    <row r="315" spans="1:15" x14ac:dyDescent="0.25">
      <c r="A315" s="57">
        <v>5321</v>
      </c>
      <c r="B315" t="s">
        <v>64</v>
      </c>
      <c r="C315" t="s">
        <v>392</v>
      </c>
      <c r="D315" s="8">
        <v>97988</v>
      </c>
      <c r="E315" s="8">
        <v>100508</v>
      </c>
      <c r="F315" s="8">
        <v>8816</v>
      </c>
      <c r="G315" s="8">
        <v>8577</v>
      </c>
      <c r="H315" s="8">
        <v>8268</v>
      </c>
      <c r="I315" s="8">
        <v>6237</v>
      </c>
      <c r="J315" s="8">
        <v>8430</v>
      </c>
      <c r="K315" s="8">
        <v>8743</v>
      </c>
      <c r="L315" s="8">
        <v>8200</v>
      </c>
      <c r="M315" s="8">
        <v>6587</v>
      </c>
      <c r="N315" s="7">
        <f t="shared" si="8"/>
        <v>97.492736896565447</v>
      </c>
      <c r="O315" s="7">
        <f t="shared" si="9"/>
        <v>99.806007509386731</v>
      </c>
    </row>
    <row r="316" spans="1:15" x14ac:dyDescent="0.25">
      <c r="A316" s="57">
        <v>5371</v>
      </c>
      <c r="B316" t="s">
        <v>64</v>
      </c>
      <c r="C316" t="s">
        <v>393</v>
      </c>
      <c r="D316" s="8">
        <v>246669</v>
      </c>
      <c r="E316" s="8">
        <v>243724</v>
      </c>
      <c r="F316" s="8">
        <v>17271</v>
      </c>
      <c r="G316" s="8">
        <v>19961</v>
      </c>
      <c r="H316" s="8">
        <v>24139</v>
      </c>
      <c r="I316" s="8">
        <v>23864</v>
      </c>
      <c r="J316" s="8">
        <v>17609</v>
      </c>
      <c r="K316" s="8">
        <v>20664</v>
      </c>
      <c r="L316" s="8">
        <v>23917</v>
      </c>
      <c r="M316" s="8">
        <v>22946</v>
      </c>
      <c r="N316" s="7">
        <f t="shared" si="8"/>
        <v>101.20833401716696</v>
      </c>
      <c r="O316" s="7">
        <f t="shared" si="9"/>
        <v>100.11628453298252</v>
      </c>
    </row>
    <row r="317" spans="1:15" x14ac:dyDescent="0.25">
      <c r="A317" s="57">
        <v>6101</v>
      </c>
      <c r="B317" t="s">
        <v>65</v>
      </c>
      <c r="C317" t="s">
        <v>394</v>
      </c>
      <c r="D317" s="8">
        <v>339820</v>
      </c>
      <c r="E317" s="8">
        <v>328014</v>
      </c>
      <c r="F317" s="8">
        <v>27389</v>
      </c>
      <c r="G317" s="8">
        <v>25467</v>
      </c>
      <c r="H317" s="8">
        <v>24386</v>
      </c>
      <c r="I317" s="8">
        <v>25169</v>
      </c>
      <c r="J317" s="8">
        <v>26233</v>
      </c>
      <c r="K317" s="8">
        <v>24656</v>
      </c>
      <c r="L317" s="8">
        <v>23008</v>
      </c>
      <c r="M317" s="8">
        <v>22708</v>
      </c>
      <c r="N317" s="7">
        <f t="shared" si="8"/>
        <v>103.59923661794923</v>
      </c>
      <c r="O317" s="7">
        <f t="shared" si="9"/>
        <v>106.01004088815277</v>
      </c>
    </row>
    <row r="318" spans="1:15" x14ac:dyDescent="0.25">
      <c r="A318" s="57">
        <v>6102</v>
      </c>
      <c r="B318" t="s">
        <v>65</v>
      </c>
      <c r="C318" t="s">
        <v>395</v>
      </c>
      <c r="D318" s="8">
        <v>161762</v>
      </c>
      <c r="E318" s="8">
        <v>150385</v>
      </c>
      <c r="F318" s="8">
        <v>13745</v>
      </c>
      <c r="G318" s="8">
        <v>13938</v>
      </c>
      <c r="H318" s="8">
        <v>13518</v>
      </c>
      <c r="I318" s="8">
        <v>13732</v>
      </c>
      <c r="J318" s="8">
        <v>12838</v>
      </c>
      <c r="K318" s="8">
        <v>12821</v>
      </c>
      <c r="L318" s="8">
        <v>12379</v>
      </c>
      <c r="M318" s="8">
        <v>12083</v>
      </c>
      <c r="N318" s="7">
        <f t="shared" si="8"/>
        <v>107.56524919373607</v>
      </c>
      <c r="O318" s="7">
        <f t="shared" si="9"/>
        <v>109.60076614592687</v>
      </c>
    </row>
    <row r="319" spans="1:15" x14ac:dyDescent="0.25">
      <c r="A319" s="57">
        <v>6103</v>
      </c>
      <c r="B319" t="s">
        <v>65</v>
      </c>
      <c r="C319" t="s">
        <v>396</v>
      </c>
      <c r="D319" s="8">
        <v>224208</v>
      </c>
      <c r="E319" s="8">
        <v>205536</v>
      </c>
      <c r="F319" s="8">
        <v>18377</v>
      </c>
      <c r="G319" s="8">
        <v>19724</v>
      </c>
      <c r="H319" s="8">
        <v>19134</v>
      </c>
      <c r="I319" s="8">
        <v>18968</v>
      </c>
      <c r="J319" s="8">
        <v>17140</v>
      </c>
      <c r="K319" s="8">
        <v>17385</v>
      </c>
      <c r="L319" s="8">
        <v>17006</v>
      </c>
      <c r="M319" s="8">
        <v>16574</v>
      </c>
      <c r="N319" s="7">
        <f t="shared" si="8"/>
        <v>109.08453993461001</v>
      </c>
      <c r="O319" s="7">
        <f t="shared" si="9"/>
        <v>111.89046325526759</v>
      </c>
    </row>
    <row r="320" spans="1:15" x14ac:dyDescent="0.25">
      <c r="A320" s="57">
        <v>6104</v>
      </c>
      <c r="B320" t="s">
        <v>65</v>
      </c>
      <c r="C320" t="s">
        <v>397</v>
      </c>
      <c r="D320" s="8">
        <v>165823</v>
      </c>
      <c r="E320" s="8">
        <v>158633</v>
      </c>
      <c r="F320" s="8">
        <v>13669</v>
      </c>
      <c r="G320" s="8">
        <v>14671</v>
      </c>
      <c r="H320" s="8">
        <v>13959</v>
      </c>
      <c r="I320" s="8">
        <v>12743</v>
      </c>
      <c r="J320" s="8">
        <v>12964</v>
      </c>
      <c r="K320" s="8">
        <v>13655</v>
      </c>
      <c r="L320" s="8">
        <v>12565</v>
      </c>
      <c r="M320" s="8">
        <v>11758</v>
      </c>
      <c r="N320" s="7">
        <f t="shared" si="8"/>
        <v>104.53247432753588</v>
      </c>
      <c r="O320" s="7">
        <f t="shared" si="9"/>
        <v>108.04836873306898</v>
      </c>
    </row>
    <row r="321" spans="1:15" x14ac:dyDescent="0.25">
      <c r="A321" s="57">
        <v>6105</v>
      </c>
      <c r="B321" t="s">
        <v>65</v>
      </c>
      <c r="C321" t="s">
        <v>398</v>
      </c>
      <c r="D321" s="8">
        <v>270236</v>
      </c>
      <c r="E321" s="8">
        <v>252563</v>
      </c>
      <c r="F321" s="8">
        <v>21315</v>
      </c>
      <c r="G321" s="8">
        <v>22467</v>
      </c>
      <c r="H321" s="8">
        <v>21404</v>
      </c>
      <c r="I321" s="8">
        <v>21345</v>
      </c>
      <c r="J321" s="8">
        <v>19761</v>
      </c>
      <c r="K321" s="8">
        <v>20984</v>
      </c>
      <c r="L321" s="8">
        <v>19672</v>
      </c>
      <c r="M321" s="8">
        <v>19653</v>
      </c>
      <c r="N321" s="7">
        <f t="shared" si="8"/>
        <v>106.99746201937734</v>
      </c>
      <c r="O321" s="7">
        <f t="shared" si="9"/>
        <v>108.06918945922317</v>
      </c>
    </row>
    <row r="322" spans="1:15" x14ac:dyDescent="0.25">
      <c r="A322" s="57">
        <v>6106</v>
      </c>
      <c r="B322" t="s">
        <v>65</v>
      </c>
      <c r="C322" t="s">
        <v>399</v>
      </c>
      <c r="D322" s="8">
        <v>318287</v>
      </c>
      <c r="E322" s="8">
        <v>295712</v>
      </c>
      <c r="F322" s="8">
        <v>27738</v>
      </c>
      <c r="G322" s="8">
        <v>26369</v>
      </c>
      <c r="H322" s="8">
        <v>26830</v>
      </c>
      <c r="I322" s="8">
        <v>25991</v>
      </c>
      <c r="J322" s="8">
        <v>25572</v>
      </c>
      <c r="K322" s="8">
        <v>24674</v>
      </c>
      <c r="L322" s="8">
        <v>25334</v>
      </c>
      <c r="M322" s="8">
        <v>23945</v>
      </c>
      <c r="N322" s="7">
        <f t="shared" si="8"/>
        <v>107.63411697868197</v>
      </c>
      <c r="O322" s="7">
        <f t="shared" si="9"/>
        <v>107.43833207736751</v>
      </c>
    </row>
    <row r="323" spans="1:15" x14ac:dyDescent="0.25">
      <c r="A323" s="57">
        <v>6107</v>
      </c>
      <c r="B323" t="s">
        <v>65</v>
      </c>
      <c r="C323" t="s">
        <v>400</v>
      </c>
      <c r="D323" s="8">
        <v>233980</v>
      </c>
      <c r="E323" s="8">
        <v>220601</v>
      </c>
      <c r="F323" s="8">
        <v>18887</v>
      </c>
      <c r="G323" s="8">
        <v>18779</v>
      </c>
      <c r="H323" s="8">
        <v>18921</v>
      </c>
      <c r="I323" s="8">
        <v>18911</v>
      </c>
      <c r="J323" s="8">
        <v>17339</v>
      </c>
      <c r="K323" s="8">
        <v>17266</v>
      </c>
      <c r="L323" s="8">
        <v>17882</v>
      </c>
      <c r="M323" s="8">
        <v>17802</v>
      </c>
      <c r="N323" s="7">
        <f t="shared" si="8"/>
        <v>106.06479571715451</v>
      </c>
      <c r="O323" s="7">
        <f t="shared" si="9"/>
        <v>107.41083242043563</v>
      </c>
    </row>
    <row r="324" spans="1:15" x14ac:dyDescent="0.25">
      <c r="A324" s="57">
        <v>6108</v>
      </c>
      <c r="B324" t="s">
        <v>65</v>
      </c>
      <c r="C324" t="s">
        <v>401</v>
      </c>
      <c r="D324" s="8">
        <v>139342</v>
      </c>
      <c r="E324" s="8">
        <v>132918</v>
      </c>
      <c r="F324" s="8">
        <v>11581</v>
      </c>
      <c r="G324" s="8">
        <v>10737</v>
      </c>
      <c r="H324" s="8">
        <v>10423</v>
      </c>
      <c r="I324" s="8">
        <v>10619</v>
      </c>
      <c r="J324" s="8">
        <v>10673</v>
      </c>
      <c r="K324" s="8">
        <v>10316</v>
      </c>
      <c r="L324" s="8">
        <v>10359</v>
      </c>
      <c r="M324" s="8">
        <v>10029</v>
      </c>
      <c r="N324" s="7">
        <f t="shared" ref="N324:N387" si="10">D324/E324*100</f>
        <v>104.83305496621978</v>
      </c>
      <c r="O324" s="7">
        <f t="shared" ref="O324:O387" si="11">SUM(F324:I324)/SUM(J324:M324)*100</f>
        <v>104.79251758223167</v>
      </c>
    </row>
    <row r="325" spans="1:15" x14ac:dyDescent="0.25">
      <c r="A325" s="57">
        <v>6109</v>
      </c>
      <c r="B325" t="s">
        <v>65</v>
      </c>
      <c r="C325" t="s">
        <v>402</v>
      </c>
      <c r="D325" s="8">
        <v>117819</v>
      </c>
      <c r="E325" s="8">
        <v>110047</v>
      </c>
      <c r="F325" s="8">
        <v>9353</v>
      </c>
      <c r="G325" s="8">
        <v>9559</v>
      </c>
      <c r="H325" s="8">
        <v>9847</v>
      </c>
      <c r="I325" s="8">
        <v>9958</v>
      </c>
      <c r="J325" s="8">
        <v>8814</v>
      </c>
      <c r="K325" s="8">
        <v>8699</v>
      </c>
      <c r="L325" s="8">
        <v>8798</v>
      </c>
      <c r="M325" s="8">
        <v>9001</v>
      </c>
      <c r="N325" s="7">
        <f t="shared" si="10"/>
        <v>107.06243695875399</v>
      </c>
      <c r="O325" s="7">
        <f t="shared" si="11"/>
        <v>109.6426144086996</v>
      </c>
    </row>
    <row r="326" spans="1:15" x14ac:dyDescent="0.25">
      <c r="A326" s="57">
        <v>6110</v>
      </c>
      <c r="B326" t="s">
        <v>65</v>
      </c>
      <c r="C326" t="s">
        <v>403</v>
      </c>
      <c r="D326" s="8">
        <v>128472</v>
      </c>
      <c r="E326" s="8">
        <v>122020</v>
      </c>
      <c r="F326" s="8">
        <v>10410</v>
      </c>
      <c r="G326" s="8">
        <v>10588</v>
      </c>
      <c r="H326" s="8">
        <v>10519</v>
      </c>
      <c r="I326" s="8">
        <v>10662</v>
      </c>
      <c r="J326" s="8">
        <v>10063</v>
      </c>
      <c r="K326" s="8">
        <v>10194</v>
      </c>
      <c r="L326" s="8">
        <v>10247</v>
      </c>
      <c r="M326" s="8">
        <v>10614</v>
      </c>
      <c r="N326" s="7">
        <f t="shared" si="10"/>
        <v>105.28765776102279</v>
      </c>
      <c r="O326" s="7">
        <f t="shared" si="11"/>
        <v>102.58037842307506</v>
      </c>
    </row>
    <row r="327" spans="1:15" x14ac:dyDescent="0.25">
      <c r="A327" s="57">
        <v>6111</v>
      </c>
      <c r="B327" t="s">
        <v>65</v>
      </c>
      <c r="C327" t="s">
        <v>404</v>
      </c>
      <c r="D327" s="8">
        <v>71701</v>
      </c>
      <c r="E327" s="8">
        <v>67778</v>
      </c>
      <c r="F327" s="8">
        <v>6106</v>
      </c>
      <c r="G327" s="8">
        <v>6122</v>
      </c>
      <c r="H327" s="8">
        <v>5853</v>
      </c>
      <c r="I327" s="8">
        <v>5594</v>
      </c>
      <c r="J327" s="8">
        <v>5872</v>
      </c>
      <c r="K327" s="8">
        <v>5699</v>
      </c>
      <c r="L327" s="8">
        <v>5591</v>
      </c>
      <c r="M327" s="8">
        <v>5357</v>
      </c>
      <c r="N327" s="7">
        <f t="shared" si="10"/>
        <v>105.7880138097908</v>
      </c>
      <c r="O327" s="7">
        <f t="shared" si="11"/>
        <v>105.13344287046493</v>
      </c>
    </row>
    <row r="328" spans="1:15" x14ac:dyDescent="0.25">
      <c r="A328" s="57">
        <v>6112</v>
      </c>
      <c r="B328" t="s">
        <v>65</v>
      </c>
      <c r="C328" t="s">
        <v>405</v>
      </c>
      <c r="D328" s="8">
        <v>342472</v>
      </c>
      <c r="E328" s="8">
        <v>328283</v>
      </c>
      <c r="F328" s="8">
        <v>26975</v>
      </c>
      <c r="G328" s="8">
        <v>29442</v>
      </c>
      <c r="H328" s="8">
        <v>29395</v>
      </c>
      <c r="I328" s="8">
        <v>27031</v>
      </c>
      <c r="J328" s="8">
        <v>25512</v>
      </c>
      <c r="K328" s="8">
        <v>28251</v>
      </c>
      <c r="L328" s="8">
        <v>27569</v>
      </c>
      <c r="M328" s="8">
        <v>25823</v>
      </c>
      <c r="N328" s="7">
        <f t="shared" si="10"/>
        <v>104.32218543147222</v>
      </c>
      <c r="O328" s="7">
        <f t="shared" si="11"/>
        <v>105.30819840418087</v>
      </c>
    </row>
    <row r="329" spans="1:15" x14ac:dyDescent="0.25">
      <c r="A329" s="57">
        <v>6171</v>
      </c>
      <c r="B329" t="s">
        <v>65</v>
      </c>
      <c r="C329" t="s">
        <v>406</v>
      </c>
      <c r="D329" s="8">
        <v>345204</v>
      </c>
      <c r="E329" s="8">
        <v>345765</v>
      </c>
      <c r="F329" s="8">
        <v>27352</v>
      </c>
      <c r="G329" s="8">
        <v>27865</v>
      </c>
      <c r="H329" s="8">
        <v>27079</v>
      </c>
      <c r="I329" s="8">
        <v>25448</v>
      </c>
      <c r="J329" s="8">
        <v>26215</v>
      </c>
      <c r="K329" s="8">
        <v>27682</v>
      </c>
      <c r="L329" s="8">
        <v>26934</v>
      </c>
      <c r="M329" s="8">
        <v>26071</v>
      </c>
      <c r="N329" s="7">
        <f t="shared" si="10"/>
        <v>99.83775107370613</v>
      </c>
      <c r="O329" s="7">
        <f t="shared" si="11"/>
        <v>100.78763727526146</v>
      </c>
    </row>
    <row r="330" spans="1:15" x14ac:dyDescent="0.25">
      <c r="A330" s="57">
        <v>6172</v>
      </c>
      <c r="B330" t="s">
        <v>65</v>
      </c>
      <c r="C330" t="s">
        <v>407</v>
      </c>
      <c r="D330" s="8">
        <v>131460</v>
      </c>
      <c r="E330" s="8">
        <v>126114</v>
      </c>
      <c r="F330" s="8">
        <v>10097</v>
      </c>
      <c r="G330" s="8">
        <v>10566</v>
      </c>
      <c r="H330" s="8">
        <v>11249</v>
      </c>
      <c r="I330" s="8">
        <v>10596</v>
      </c>
      <c r="J330" s="8">
        <v>9433</v>
      </c>
      <c r="K330" s="8">
        <v>10098</v>
      </c>
      <c r="L330" s="8">
        <v>10772</v>
      </c>
      <c r="M330" s="8">
        <v>9915</v>
      </c>
      <c r="N330" s="7">
        <f t="shared" si="10"/>
        <v>104.23902183738522</v>
      </c>
      <c r="O330" s="7">
        <f t="shared" si="11"/>
        <v>105.6939678750808</v>
      </c>
    </row>
    <row r="331" spans="1:15" x14ac:dyDescent="0.25">
      <c r="A331" s="57">
        <v>6201</v>
      </c>
      <c r="B331" t="s">
        <v>66</v>
      </c>
      <c r="C331" t="s">
        <v>408</v>
      </c>
      <c r="D331" s="8">
        <v>148651</v>
      </c>
      <c r="E331" s="8">
        <v>139909</v>
      </c>
      <c r="F331" s="8">
        <v>10871</v>
      </c>
      <c r="G331" s="8">
        <v>11587</v>
      </c>
      <c r="H331" s="8">
        <v>11524</v>
      </c>
      <c r="I331" s="8">
        <v>11011</v>
      </c>
      <c r="J331" s="8">
        <v>10034</v>
      </c>
      <c r="K331" s="8">
        <v>11023</v>
      </c>
      <c r="L331" s="8">
        <v>11087</v>
      </c>
      <c r="M331" s="8">
        <v>10919</v>
      </c>
      <c r="N331" s="7">
        <f t="shared" si="10"/>
        <v>106.24834713992666</v>
      </c>
      <c r="O331" s="7">
        <f t="shared" si="11"/>
        <v>104.48180572649375</v>
      </c>
    </row>
    <row r="332" spans="1:15" x14ac:dyDescent="0.25">
      <c r="A332" s="57">
        <v>6202</v>
      </c>
      <c r="B332" t="s">
        <v>66</v>
      </c>
      <c r="C332" t="s">
        <v>409</v>
      </c>
      <c r="D332" s="8">
        <v>235523</v>
      </c>
      <c r="E332" s="8">
        <v>221901</v>
      </c>
      <c r="F332" s="8">
        <v>19891</v>
      </c>
      <c r="G332" s="8">
        <v>19766</v>
      </c>
      <c r="H332" s="8">
        <v>19313</v>
      </c>
      <c r="I332" s="8">
        <v>19069</v>
      </c>
      <c r="J332" s="8">
        <v>18796</v>
      </c>
      <c r="K332" s="8">
        <v>18459</v>
      </c>
      <c r="L332" s="8">
        <v>18336</v>
      </c>
      <c r="M332" s="8">
        <v>18001</v>
      </c>
      <c r="N332" s="7">
        <f t="shared" si="10"/>
        <v>106.1387735972348</v>
      </c>
      <c r="O332" s="7">
        <f t="shared" si="11"/>
        <v>106.04277638873792</v>
      </c>
    </row>
    <row r="333" spans="1:15" x14ac:dyDescent="0.25">
      <c r="A333" s="57">
        <v>6203</v>
      </c>
      <c r="B333" t="s">
        <v>66</v>
      </c>
      <c r="C333" t="s">
        <v>410</v>
      </c>
      <c r="D333" s="8">
        <v>225940</v>
      </c>
      <c r="E333" s="8">
        <v>213855</v>
      </c>
      <c r="F333" s="8">
        <v>19227</v>
      </c>
      <c r="G333" s="8">
        <v>19610</v>
      </c>
      <c r="H333" s="8">
        <v>18956</v>
      </c>
      <c r="I333" s="8">
        <v>18440</v>
      </c>
      <c r="J333" s="8">
        <v>17983</v>
      </c>
      <c r="K333" s="8">
        <v>18551</v>
      </c>
      <c r="L333" s="8">
        <v>17374</v>
      </c>
      <c r="M333" s="8">
        <v>16530</v>
      </c>
      <c r="N333" s="7">
        <f t="shared" si="10"/>
        <v>105.65102522737368</v>
      </c>
      <c r="O333" s="7">
        <f t="shared" si="11"/>
        <v>108.22709333030467</v>
      </c>
    </row>
    <row r="334" spans="1:15" x14ac:dyDescent="0.25">
      <c r="A334" s="57">
        <v>6204</v>
      </c>
      <c r="B334" t="s">
        <v>66</v>
      </c>
      <c r="C334" t="s">
        <v>411</v>
      </c>
      <c r="D334" s="8">
        <v>70462</v>
      </c>
      <c r="E334" s="8">
        <v>67701</v>
      </c>
      <c r="F334" s="8">
        <v>5994</v>
      </c>
      <c r="G334" s="8">
        <v>5861</v>
      </c>
      <c r="H334" s="8">
        <v>5388</v>
      </c>
      <c r="I334" s="8">
        <v>5128</v>
      </c>
      <c r="J334" s="8">
        <v>5617</v>
      </c>
      <c r="K334" s="8">
        <v>5471</v>
      </c>
      <c r="L334" s="8">
        <v>4997</v>
      </c>
      <c r="M334" s="8">
        <v>5041</v>
      </c>
      <c r="N334" s="7">
        <f t="shared" si="10"/>
        <v>104.0782263186659</v>
      </c>
      <c r="O334" s="7">
        <f t="shared" si="11"/>
        <v>105.8932121556376</v>
      </c>
    </row>
    <row r="335" spans="1:15" x14ac:dyDescent="0.25">
      <c r="A335" s="57">
        <v>6205</v>
      </c>
      <c r="B335" t="s">
        <v>66</v>
      </c>
      <c r="C335" t="s">
        <v>412</v>
      </c>
      <c r="D335" s="8">
        <v>86037</v>
      </c>
      <c r="E335" s="8">
        <v>80542</v>
      </c>
      <c r="F335" s="8">
        <v>7429</v>
      </c>
      <c r="G335" s="8">
        <v>7694</v>
      </c>
      <c r="H335" s="8">
        <v>7387</v>
      </c>
      <c r="I335" s="8">
        <v>6974</v>
      </c>
      <c r="J335" s="8">
        <v>7044</v>
      </c>
      <c r="K335" s="8">
        <v>7511</v>
      </c>
      <c r="L335" s="8">
        <v>6829</v>
      </c>
      <c r="M335" s="8">
        <v>6108</v>
      </c>
      <c r="N335" s="7">
        <f t="shared" si="10"/>
        <v>106.82252737702069</v>
      </c>
      <c r="O335" s="7">
        <f t="shared" si="11"/>
        <v>107.24574421649935</v>
      </c>
    </row>
    <row r="336" spans="1:15" x14ac:dyDescent="0.25">
      <c r="A336" s="57">
        <v>6206</v>
      </c>
      <c r="B336" t="s">
        <v>66</v>
      </c>
      <c r="C336" t="s">
        <v>413</v>
      </c>
      <c r="D336" s="8">
        <v>36523</v>
      </c>
      <c r="E336" s="8">
        <v>33619</v>
      </c>
      <c r="F336" s="8">
        <v>3010</v>
      </c>
      <c r="G336" s="8">
        <v>3087</v>
      </c>
      <c r="H336" s="8">
        <v>3136</v>
      </c>
      <c r="I336" s="8">
        <v>3048</v>
      </c>
      <c r="J336" s="8">
        <v>2724</v>
      </c>
      <c r="K336" s="8">
        <v>2986</v>
      </c>
      <c r="L336" s="8">
        <v>2802</v>
      </c>
      <c r="M336" s="8">
        <v>2994</v>
      </c>
      <c r="N336" s="7">
        <f t="shared" si="10"/>
        <v>108.63797257503198</v>
      </c>
      <c r="O336" s="7">
        <f t="shared" si="11"/>
        <v>106.73561620024334</v>
      </c>
    </row>
    <row r="337" spans="1:15" x14ac:dyDescent="0.25">
      <c r="A337" s="57">
        <v>6207</v>
      </c>
      <c r="B337" t="s">
        <v>66</v>
      </c>
      <c r="C337" t="s">
        <v>414</v>
      </c>
      <c r="D337" s="8">
        <v>56759</v>
      </c>
      <c r="E337" s="8">
        <v>49941</v>
      </c>
      <c r="F337" s="8">
        <v>3811</v>
      </c>
      <c r="G337" s="8">
        <v>4765</v>
      </c>
      <c r="H337" s="8">
        <v>5244</v>
      </c>
      <c r="I337" s="8">
        <v>5178</v>
      </c>
      <c r="J337" s="8">
        <v>3618</v>
      </c>
      <c r="K337" s="8">
        <v>4186</v>
      </c>
      <c r="L337" s="8">
        <v>4414</v>
      </c>
      <c r="M337" s="8">
        <v>4400</v>
      </c>
      <c r="N337" s="7">
        <f t="shared" si="10"/>
        <v>113.65210948919726</v>
      </c>
      <c r="O337" s="7">
        <f t="shared" si="11"/>
        <v>114.32181971356361</v>
      </c>
    </row>
    <row r="338" spans="1:15" x14ac:dyDescent="0.25">
      <c r="A338" s="57">
        <v>6208</v>
      </c>
      <c r="B338" t="s">
        <v>66</v>
      </c>
      <c r="C338" t="s">
        <v>415</v>
      </c>
      <c r="D338" s="8">
        <v>95083</v>
      </c>
      <c r="E338" s="8">
        <v>85225</v>
      </c>
      <c r="F338" s="8">
        <v>7576</v>
      </c>
      <c r="G338" s="8">
        <v>7571</v>
      </c>
      <c r="H338" s="8">
        <v>7858</v>
      </c>
      <c r="I338" s="8">
        <v>8438</v>
      </c>
      <c r="J338" s="8">
        <v>7145</v>
      </c>
      <c r="K338" s="8">
        <v>7111</v>
      </c>
      <c r="L338" s="8">
        <v>7041</v>
      </c>
      <c r="M338" s="8">
        <v>7457</v>
      </c>
      <c r="N338" s="7">
        <f t="shared" si="10"/>
        <v>111.5670284540921</v>
      </c>
      <c r="O338" s="7">
        <f t="shared" si="11"/>
        <v>109.35174236627947</v>
      </c>
    </row>
    <row r="339" spans="1:15" x14ac:dyDescent="0.25">
      <c r="A339" s="57">
        <v>6209</v>
      </c>
      <c r="B339" t="s">
        <v>66</v>
      </c>
      <c r="C339" t="s">
        <v>416</v>
      </c>
      <c r="D339" s="8">
        <v>91282</v>
      </c>
      <c r="E339" s="8">
        <v>85482</v>
      </c>
      <c r="F339" s="8">
        <v>7715</v>
      </c>
      <c r="G339" s="8">
        <v>6908</v>
      </c>
      <c r="H339" s="8">
        <v>6903</v>
      </c>
      <c r="I339" s="8">
        <v>7150</v>
      </c>
      <c r="J339" s="8">
        <v>7296</v>
      </c>
      <c r="K339" s="8">
        <v>6754</v>
      </c>
      <c r="L339" s="8">
        <v>6821</v>
      </c>
      <c r="M339" s="8">
        <v>6597</v>
      </c>
      <c r="N339" s="7">
        <f t="shared" si="10"/>
        <v>106.78505416344962</v>
      </c>
      <c r="O339" s="7">
        <f t="shared" si="11"/>
        <v>104.39784476481724</v>
      </c>
    </row>
    <row r="340" spans="1:15" x14ac:dyDescent="0.25">
      <c r="A340" s="57">
        <v>6210</v>
      </c>
      <c r="B340" t="s">
        <v>66</v>
      </c>
      <c r="C340" t="s">
        <v>417</v>
      </c>
      <c r="D340" s="8">
        <v>73461</v>
      </c>
      <c r="E340" s="8">
        <v>68567</v>
      </c>
      <c r="F340" s="8">
        <v>5594</v>
      </c>
      <c r="G340" s="8">
        <v>6059</v>
      </c>
      <c r="H340" s="8">
        <v>6117</v>
      </c>
      <c r="I340" s="8">
        <v>5576</v>
      </c>
      <c r="J340" s="8">
        <v>5397</v>
      </c>
      <c r="K340" s="8">
        <v>5631</v>
      </c>
      <c r="L340" s="8">
        <v>5353</v>
      </c>
      <c r="M340" s="8">
        <v>4989</v>
      </c>
      <c r="N340" s="7">
        <f t="shared" si="10"/>
        <v>107.13754429973604</v>
      </c>
      <c r="O340" s="7">
        <f t="shared" si="11"/>
        <v>109.24660739354235</v>
      </c>
    </row>
    <row r="341" spans="1:15" x14ac:dyDescent="0.25">
      <c r="A341" s="57">
        <v>6211</v>
      </c>
      <c r="B341" t="s">
        <v>66</v>
      </c>
      <c r="C341" t="s">
        <v>418</v>
      </c>
      <c r="D341" s="8">
        <v>79048</v>
      </c>
      <c r="E341" s="8">
        <v>71875</v>
      </c>
      <c r="F341" s="8">
        <v>7086</v>
      </c>
      <c r="G341" s="8">
        <v>6857</v>
      </c>
      <c r="H341" s="8">
        <v>7351</v>
      </c>
      <c r="I341" s="8">
        <v>6995</v>
      </c>
      <c r="J341" s="8">
        <v>6553</v>
      </c>
      <c r="K341" s="8">
        <v>6458</v>
      </c>
      <c r="L341" s="8">
        <v>6650</v>
      </c>
      <c r="M341" s="8">
        <v>6096</v>
      </c>
      <c r="N341" s="7">
        <f t="shared" si="10"/>
        <v>109.97982608695651</v>
      </c>
      <c r="O341" s="7">
        <f t="shared" si="11"/>
        <v>109.83033738401211</v>
      </c>
    </row>
    <row r="342" spans="1:15" x14ac:dyDescent="0.25">
      <c r="A342" s="57">
        <v>6212</v>
      </c>
      <c r="B342" t="s">
        <v>66</v>
      </c>
      <c r="C342" t="s">
        <v>419</v>
      </c>
      <c r="D342" s="8">
        <v>62042</v>
      </c>
      <c r="E342" s="8">
        <v>59580</v>
      </c>
      <c r="F342" s="8">
        <v>5244</v>
      </c>
      <c r="G342" s="8">
        <v>5273</v>
      </c>
      <c r="H342" s="8">
        <v>4878</v>
      </c>
      <c r="I342" s="8">
        <v>4619</v>
      </c>
      <c r="J342" s="8">
        <v>4857</v>
      </c>
      <c r="K342" s="8">
        <v>5068</v>
      </c>
      <c r="L342" s="8">
        <v>4636</v>
      </c>
      <c r="M342" s="8">
        <v>4571</v>
      </c>
      <c r="N342" s="7">
        <f t="shared" si="10"/>
        <v>104.13225914736488</v>
      </c>
      <c r="O342" s="7">
        <f t="shared" si="11"/>
        <v>104.61007735730712</v>
      </c>
    </row>
    <row r="343" spans="1:15" x14ac:dyDescent="0.25">
      <c r="A343" s="57">
        <v>6213</v>
      </c>
      <c r="B343" t="s">
        <v>66</v>
      </c>
      <c r="C343" t="s">
        <v>420</v>
      </c>
      <c r="D343" s="8">
        <v>63020</v>
      </c>
      <c r="E343" s="8">
        <v>58976</v>
      </c>
      <c r="F343" s="8">
        <v>5822</v>
      </c>
      <c r="G343" s="8">
        <v>5654</v>
      </c>
      <c r="H343" s="8">
        <v>4969</v>
      </c>
      <c r="I343" s="8">
        <v>4837</v>
      </c>
      <c r="J343" s="8">
        <v>5641</v>
      </c>
      <c r="K343" s="8">
        <v>5413</v>
      </c>
      <c r="L343" s="8">
        <v>4711</v>
      </c>
      <c r="M343" s="8">
        <v>4644</v>
      </c>
      <c r="N343" s="7">
        <f t="shared" si="10"/>
        <v>106.85702658708627</v>
      </c>
      <c r="O343" s="7">
        <f t="shared" si="11"/>
        <v>104.27752462149051</v>
      </c>
    </row>
    <row r="344" spans="1:15" x14ac:dyDescent="0.25">
      <c r="A344" s="57">
        <v>6271</v>
      </c>
      <c r="B344" t="s">
        <v>66</v>
      </c>
      <c r="C344" t="s">
        <v>421</v>
      </c>
      <c r="D344" s="8">
        <v>159166</v>
      </c>
      <c r="E344" s="8">
        <v>159374</v>
      </c>
      <c r="F344" s="8">
        <v>12781</v>
      </c>
      <c r="G344" s="8">
        <v>13779</v>
      </c>
      <c r="H344" s="8">
        <v>13164</v>
      </c>
      <c r="I344" s="8">
        <v>12090</v>
      </c>
      <c r="J344" s="8">
        <v>11966</v>
      </c>
      <c r="K344" s="8">
        <v>13898</v>
      </c>
      <c r="L344" s="8">
        <v>14172</v>
      </c>
      <c r="M344" s="8">
        <v>13263</v>
      </c>
      <c r="N344" s="7">
        <f t="shared" si="10"/>
        <v>99.869489377188245</v>
      </c>
      <c r="O344" s="7">
        <f t="shared" si="11"/>
        <v>97.213831403966296</v>
      </c>
    </row>
    <row r="345" spans="1:15" x14ac:dyDescent="0.25">
      <c r="A345" s="57">
        <v>6301</v>
      </c>
      <c r="B345" t="s">
        <v>67</v>
      </c>
      <c r="C345" t="s">
        <v>422</v>
      </c>
      <c r="D345" s="8">
        <v>190227</v>
      </c>
      <c r="E345" s="8">
        <v>182489</v>
      </c>
      <c r="F345" s="8">
        <v>14459</v>
      </c>
      <c r="G345" s="8">
        <v>14162</v>
      </c>
      <c r="H345" s="8">
        <v>14344</v>
      </c>
      <c r="I345" s="8">
        <v>14428</v>
      </c>
      <c r="J345" s="8">
        <v>13210</v>
      </c>
      <c r="K345" s="8">
        <v>13743</v>
      </c>
      <c r="L345" s="8">
        <v>13843</v>
      </c>
      <c r="M345" s="8">
        <v>13986</v>
      </c>
      <c r="N345" s="7">
        <f t="shared" si="10"/>
        <v>104.24025557704849</v>
      </c>
      <c r="O345" s="7">
        <f t="shared" si="11"/>
        <v>104.76616406848964</v>
      </c>
    </row>
    <row r="346" spans="1:15" x14ac:dyDescent="0.25">
      <c r="A346" s="57">
        <v>6302</v>
      </c>
      <c r="B346" t="s">
        <v>67</v>
      </c>
      <c r="C346" t="s">
        <v>423</v>
      </c>
      <c r="D346" s="8">
        <v>181005</v>
      </c>
      <c r="E346" s="8">
        <v>171731</v>
      </c>
      <c r="F346" s="8">
        <v>15717</v>
      </c>
      <c r="G346" s="8">
        <v>14388</v>
      </c>
      <c r="H346" s="8">
        <v>13171</v>
      </c>
      <c r="I346" s="8">
        <v>12866</v>
      </c>
      <c r="J346" s="8">
        <v>14281</v>
      </c>
      <c r="K346" s="8">
        <v>13631</v>
      </c>
      <c r="L346" s="8">
        <v>12596</v>
      </c>
      <c r="M346" s="8">
        <v>12538</v>
      </c>
      <c r="N346" s="7">
        <f t="shared" si="10"/>
        <v>105.40030629298147</v>
      </c>
      <c r="O346" s="7">
        <f t="shared" si="11"/>
        <v>105.83644384119444</v>
      </c>
    </row>
    <row r="347" spans="1:15" x14ac:dyDescent="0.25">
      <c r="A347" s="57">
        <v>6303</v>
      </c>
      <c r="B347" t="s">
        <v>67</v>
      </c>
      <c r="C347" t="s">
        <v>424</v>
      </c>
      <c r="D347" s="8">
        <v>311806</v>
      </c>
      <c r="E347" s="8">
        <v>306675</v>
      </c>
      <c r="F347" s="8">
        <v>23347</v>
      </c>
      <c r="G347" s="8">
        <v>23957</v>
      </c>
      <c r="H347" s="8">
        <v>24738</v>
      </c>
      <c r="I347" s="8">
        <v>24517</v>
      </c>
      <c r="J347" s="8">
        <v>22314</v>
      </c>
      <c r="K347" s="8">
        <v>22997</v>
      </c>
      <c r="L347" s="8">
        <v>24291</v>
      </c>
      <c r="M347" s="8">
        <v>23710</v>
      </c>
      <c r="N347" s="7">
        <f t="shared" si="10"/>
        <v>101.67310670905682</v>
      </c>
      <c r="O347" s="7">
        <f t="shared" si="11"/>
        <v>103.47972393689986</v>
      </c>
    </row>
    <row r="348" spans="1:15" x14ac:dyDescent="0.25">
      <c r="A348" s="57">
        <v>6304</v>
      </c>
      <c r="B348" t="s">
        <v>67</v>
      </c>
      <c r="C348" t="s">
        <v>425</v>
      </c>
      <c r="D348" s="8">
        <v>172292</v>
      </c>
      <c r="E348" s="8">
        <v>167965</v>
      </c>
      <c r="F348" s="8">
        <v>13520</v>
      </c>
      <c r="G348" s="8">
        <v>13047</v>
      </c>
      <c r="H348" s="8">
        <v>13235</v>
      </c>
      <c r="I348" s="8">
        <v>12814</v>
      </c>
      <c r="J348" s="8">
        <v>12552</v>
      </c>
      <c r="K348" s="8">
        <v>12122</v>
      </c>
      <c r="L348" s="8">
        <v>12236</v>
      </c>
      <c r="M348" s="8">
        <v>12460</v>
      </c>
      <c r="N348" s="7">
        <f t="shared" si="10"/>
        <v>102.57613193224779</v>
      </c>
      <c r="O348" s="7">
        <f t="shared" si="11"/>
        <v>106.57484302207818</v>
      </c>
    </row>
    <row r="349" spans="1:15" x14ac:dyDescent="0.25">
      <c r="A349" s="57">
        <v>6305</v>
      </c>
      <c r="B349" t="s">
        <v>67</v>
      </c>
      <c r="C349" t="s">
        <v>426</v>
      </c>
      <c r="D349" s="8">
        <v>102752</v>
      </c>
      <c r="E349" s="8">
        <v>100730</v>
      </c>
      <c r="F349" s="8">
        <v>7113</v>
      </c>
      <c r="G349" s="8">
        <v>7684</v>
      </c>
      <c r="H349" s="8">
        <v>7973</v>
      </c>
      <c r="I349" s="8">
        <v>8091</v>
      </c>
      <c r="J349" s="8">
        <v>6828</v>
      </c>
      <c r="K349" s="8">
        <v>7587</v>
      </c>
      <c r="L349" s="8">
        <v>7837</v>
      </c>
      <c r="M349" s="8">
        <v>7747</v>
      </c>
      <c r="N349" s="7">
        <f t="shared" si="10"/>
        <v>102.00734637148814</v>
      </c>
      <c r="O349" s="7">
        <f t="shared" si="11"/>
        <v>102.87342911430382</v>
      </c>
    </row>
    <row r="350" spans="1:15" x14ac:dyDescent="0.25">
      <c r="A350" s="57">
        <v>6306</v>
      </c>
      <c r="B350" t="s">
        <v>67</v>
      </c>
      <c r="C350" t="s">
        <v>427</v>
      </c>
      <c r="D350" s="8">
        <v>122778</v>
      </c>
      <c r="E350" s="8">
        <v>121445</v>
      </c>
      <c r="F350" s="8">
        <v>9512</v>
      </c>
      <c r="G350" s="8">
        <v>9924</v>
      </c>
      <c r="H350" s="8">
        <v>9653</v>
      </c>
      <c r="I350" s="8">
        <v>9284</v>
      </c>
      <c r="J350" s="8">
        <v>9152</v>
      </c>
      <c r="K350" s="8">
        <v>9196</v>
      </c>
      <c r="L350" s="8">
        <v>8717</v>
      </c>
      <c r="M350" s="8">
        <v>8603</v>
      </c>
      <c r="N350" s="7">
        <f t="shared" si="10"/>
        <v>101.0976162048664</v>
      </c>
      <c r="O350" s="7">
        <f t="shared" si="11"/>
        <v>107.58382864191994</v>
      </c>
    </row>
    <row r="351" spans="1:15" x14ac:dyDescent="0.25">
      <c r="A351" s="57">
        <v>6307</v>
      </c>
      <c r="B351" t="s">
        <v>67</v>
      </c>
      <c r="C351" t="s">
        <v>428</v>
      </c>
      <c r="D351" s="8">
        <v>137734</v>
      </c>
      <c r="E351" s="8">
        <v>135938</v>
      </c>
      <c r="F351" s="8">
        <v>11267</v>
      </c>
      <c r="G351" s="8">
        <v>11386</v>
      </c>
      <c r="H351" s="8">
        <v>10636</v>
      </c>
      <c r="I351" s="8">
        <v>10025</v>
      </c>
      <c r="J351" s="8">
        <v>10418</v>
      </c>
      <c r="K351" s="8">
        <v>10143</v>
      </c>
      <c r="L351" s="8">
        <v>9518</v>
      </c>
      <c r="M351" s="8">
        <v>9346</v>
      </c>
      <c r="N351" s="7">
        <f t="shared" si="10"/>
        <v>101.32119054274742</v>
      </c>
      <c r="O351" s="7">
        <f t="shared" si="11"/>
        <v>109.86429930247306</v>
      </c>
    </row>
    <row r="352" spans="1:15" x14ac:dyDescent="0.25">
      <c r="A352" s="57">
        <v>6308</v>
      </c>
      <c r="B352" t="s">
        <v>67</v>
      </c>
      <c r="C352" t="s">
        <v>429</v>
      </c>
      <c r="D352" s="8">
        <v>121253</v>
      </c>
      <c r="E352" s="8">
        <v>120839</v>
      </c>
      <c r="F352" s="8">
        <v>9819</v>
      </c>
      <c r="G352" s="8">
        <v>9800</v>
      </c>
      <c r="H352" s="8">
        <v>9686</v>
      </c>
      <c r="I352" s="8">
        <v>9459</v>
      </c>
      <c r="J352" s="8">
        <v>9216</v>
      </c>
      <c r="K352" s="8">
        <v>8803</v>
      </c>
      <c r="L352" s="8">
        <v>8692</v>
      </c>
      <c r="M352" s="8">
        <v>9045</v>
      </c>
      <c r="N352" s="7">
        <f t="shared" si="10"/>
        <v>100.34260462267977</v>
      </c>
      <c r="O352" s="7">
        <f t="shared" si="11"/>
        <v>108.4125741134355</v>
      </c>
    </row>
    <row r="353" spans="1:15" x14ac:dyDescent="0.25">
      <c r="A353" s="57">
        <v>6309</v>
      </c>
      <c r="B353" t="s">
        <v>67</v>
      </c>
      <c r="C353" t="s">
        <v>430</v>
      </c>
      <c r="D353" s="8">
        <v>138558</v>
      </c>
      <c r="E353" s="8">
        <v>135044</v>
      </c>
      <c r="F353" s="8">
        <v>10163</v>
      </c>
      <c r="G353" s="8">
        <v>10825</v>
      </c>
      <c r="H353" s="8">
        <v>11013</v>
      </c>
      <c r="I353" s="8">
        <v>11347</v>
      </c>
      <c r="J353" s="8">
        <v>9530</v>
      </c>
      <c r="K353" s="8">
        <v>10503</v>
      </c>
      <c r="L353" s="8">
        <v>10882</v>
      </c>
      <c r="M353" s="8">
        <v>10990</v>
      </c>
      <c r="N353" s="7">
        <f t="shared" si="10"/>
        <v>102.60211486626581</v>
      </c>
      <c r="O353" s="7">
        <f t="shared" si="11"/>
        <v>103.44350316191387</v>
      </c>
    </row>
    <row r="354" spans="1:15" x14ac:dyDescent="0.25">
      <c r="A354" s="57">
        <v>6310</v>
      </c>
      <c r="B354" t="s">
        <v>67</v>
      </c>
      <c r="C354" t="s">
        <v>431</v>
      </c>
      <c r="D354" s="8">
        <v>179731</v>
      </c>
      <c r="E354" s="8">
        <v>172341</v>
      </c>
      <c r="F354" s="8">
        <v>11946</v>
      </c>
      <c r="G354" s="8">
        <v>12688</v>
      </c>
      <c r="H354" s="8">
        <v>13692</v>
      </c>
      <c r="I354" s="8">
        <v>13513</v>
      </c>
      <c r="J354" s="8">
        <v>11430</v>
      </c>
      <c r="K354" s="8">
        <v>12715</v>
      </c>
      <c r="L354" s="8">
        <v>14128</v>
      </c>
      <c r="M354" s="8">
        <v>13926</v>
      </c>
      <c r="N354" s="7">
        <f t="shared" si="10"/>
        <v>104.28801039799002</v>
      </c>
      <c r="O354" s="7">
        <f t="shared" si="11"/>
        <v>99.310331615548193</v>
      </c>
    </row>
    <row r="355" spans="1:15" x14ac:dyDescent="0.25">
      <c r="A355" s="57">
        <v>6311</v>
      </c>
      <c r="B355" t="s">
        <v>67</v>
      </c>
      <c r="C355" t="s">
        <v>432</v>
      </c>
      <c r="D355" s="8">
        <v>71785</v>
      </c>
      <c r="E355" s="8">
        <v>70244</v>
      </c>
      <c r="F355" s="8">
        <v>5572</v>
      </c>
      <c r="G355" s="8">
        <v>5839</v>
      </c>
      <c r="H355" s="8">
        <v>5744</v>
      </c>
      <c r="I355" s="8">
        <v>5860</v>
      </c>
      <c r="J355" s="8">
        <v>5349</v>
      </c>
      <c r="K355" s="8">
        <v>5634</v>
      </c>
      <c r="L355" s="8">
        <v>5603</v>
      </c>
      <c r="M355" s="8">
        <v>5582</v>
      </c>
      <c r="N355" s="7">
        <f t="shared" si="10"/>
        <v>102.19378167530321</v>
      </c>
      <c r="O355" s="7">
        <f t="shared" si="11"/>
        <v>103.82082280765066</v>
      </c>
    </row>
    <row r="356" spans="1:15" x14ac:dyDescent="0.25">
      <c r="A356" s="57">
        <v>6371</v>
      </c>
      <c r="B356" t="s">
        <v>67</v>
      </c>
      <c r="C356" t="s">
        <v>433</v>
      </c>
      <c r="D356" s="8">
        <v>336278</v>
      </c>
      <c r="E356" s="8">
        <v>336390</v>
      </c>
      <c r="F356" s="8">
        <v>26777</v>
      </c>
      <c r="G356" s="8">
        <v>26166</v>
      </c>
      <c r="H356" s="8">
        <v>24135</v>
      </c>
      <c r="I356" s="8">
        <v>23601</v>
      </c>
      <c r="J356" s="8">
        <v>25176</v>
      </c>
      <c r="K356" s="8">
        <v>24976</v>
      </c>
      <c r="L356" s="8">
        <v>23329</v>
      </c>
      <c r="M356" s="8">
        <v>23407</v>
      </c>
      <c r="N356" s="7">
        <f t="shared" si="10"/>
        <v>99.966705312286336</v>
      </c>
      <c r="O356" s="7">
        <f t="shared" si="11"/>
        <v>103.91276525472711</v>
      </c>
    </row>
    <row r="357" spans="1:15" x14ac:dyDescent="0.25">
      <c r="A357" s="57">
        <v>6372</v>
      </c>
      <c r="B357" t="s">
        <v>67</v>
      </c>
      <c r="C357" t="s">
        <v>434</v>
      </c>
      <c r="D357" s="8">
        <v>142424</v>
      </c>
      <c r="E357" s="8">
        <v>141655</v>
      </c>
      <c r="F357" s="8">
        <v>10234</v>
      </c>
      <c r="G357" s="8">
        <v>11600</v>
      </c>
      <c r="H357" s="8">
        <v>11165</v>
      </c>
      <c r="I357" s="8">
        <v>10658</v>
      </c>
      <c r="J357" s="8">
        <v>9689</v>
      </c>
      <c r="K357" s="8">
        <v>11243</v>
      </c>
      <c r="L357" s="8">
        <v>11398</v>
      </c>
      <c r="M357" s="8">
        <v>11165</v>
      </c>
      <c r="N357" s="7">
        <f t="shared" si="10"/>
        <v>100.54286823620768</v>
      </c>
      <c r="O357" s="7">
        <f t="shared" si="11"/>
        <v>100.37245660420737</v>
      </c>
    </row>
    <row r="358" spans="1:15" x14ac:dyDescent="0.25">
      <c r="A358" s="57">
        <v>6401</v>
      </c>
      <c r="B358" t="s">
        <v>68</v>
      </c>
      <c r="C358" t="s">
        <v>435</v>
      </c>
      <c r="D358" s="8">
        <v>151286</v>
      </c>
      <c r="E358" s="8">
        <v>141107</v>
      </c>
      <c r="F358" s="8">
        <v>12115</v>
      </c>
      <c r="G358" s="8">
        <v>12073</v>
      </c>
      <c r="H358" s="8">
        <v>12150</v>
      </c>
      <c r="I358" s="8">
        <v>12434</v>
      </c>
      <c r="J358" s="8">
        <v>11042</v>
      </c>
      <c r="K358" s="8">
        <v>11467</v>
      </c>
      <c r="L358" s="8">
        <v>11291</v>
      </c>
      <c r="M358" s="8">
        <v>11500</v>
      </c>
      <c r="N358" s="7">
        <f t="shared" si="10"/>
        <v>107.21367472910627</v>
      </c>
      <c r="O358" s="7">
        <f t="shared" si="11"/>
        <v>107.6644591611479</v>
      </c>
    </row>
    <row r="359" spans="1:15" x14ac:dyDescent="0.25">
      <c r="A359" s="57">
        <v>6402</v>
      </c>
      <c r="B359" t="s">
        <v>68</v>
      </c>
      <c r="C359" t="s">
        <v>436</v>
      </c>
      <c r="D359" s="8">
        <v>95162</v>
      </c>
      <c r="E359" s="8">
        <v>86651</v>
      </c>
      <c r="F359" s="8">
        <v>8115</v>
      </c>
      <c r="G359" s="8">
        <v>8025</v>
      </c>
      <c r="H359" s="8">
        <v>7593</v>
      </c>
      <c r="I359" s="8">
        <v>7354</v>
      </c>
      <c r="J359" s="8">
        <v>7434</v>
      </c>
      <c r="K359" s="8">
        <v>7541</v>
      </c>
      <c r="L359" s="8">
        <v>7039</v>
      </c>
      <c r="M359" s="8">
        <v>6623</v>
      </c>
      <c r="N359" s="7">
        <f t="shared" si="10"/>
        <v>109.82216015972116</v>
      </c>
      <c r="O359" s="7">
        <f t="shared" si="11"/>
        <v>108.55536543632365</v>
      </c>
    </row>
    <row r="360" spans="1:15" x14ac:dyDescent="0.25">
      <c r="A360" s="57">
        <v>6403</v>
      </c>
      <c r="B360" t="s">
        <v>68</v>
      </c>
      <c r="C360" t="s">
        <v>437</v>
      </c>
      <c r="D360" s="8">
        <v>464318</v>
      </c>
      <c r="E360" s="8">
        <v>433600</v>
      </c>
      <c r="F360" s="8">
        <v>43168</v>
      </c>
      <c r="G360" s="8">
        <v>42711</v>
      </c>
      <c r="H360" s="8">
        <v>40759</v>
      </c>
      <c r="I360" s="8">
        <v>36922</v>
      </c>
      <c r="J360" s="8">
        <v>40491</v>
      </c>
      <c r="K360" s="8">
        <v>43125</v>
      </c>
      <c r="L360" s="8">
        <v>37841</v>
      </c>
      <c r="M360" s="8">
        <v>33968</v>
      </c>
      <c r="N360" s="7">
        <f t="shared" si="10"/>
        <v>107.08440959409593</v>
      </c>
      <c r="O360" s="7">
        <f t="shared" si="11"/>
        <v>105.23403570854111</v>
      </c>
    </row>
    <row r="361" spans="1:15" x14ac:dyDescent="0.25">
      <c r="A361" s="57">
        <v>6404</v>
      </c>
      <c r="B361" t="s">
        <v>68</v>
      </c>
      <c r="C361" t="s">
        <v>438</v>
      </c>
      <c r="D361" s="8">
        <v>254834</v>
      </c>
      <c r="E361" s="8">
        <v>222861</v>
      </c>
      <c r="F361" s="8">
        <v>21678</v>
      </c>
      <c r="G361" s="8">
        <v>22141</v>
      </c>
      <c r="H361" s="8">
        <v>22998</v>
      </c>
      <c r="I361" s="8">
        <v>23756</v>
      </c>
      <c r="J361" s="8">
        <v>19584</v>
      </c>
      <c r="K361" s="8">
        <v>19207</v>
      </c>
      <c r="L361" s="8">
        <v>20027</v>
      </c>
      <c r="M361" s="8">
        <v>20169</v>
      </c>
      <c r="N361" s="7">
        <f t="shared" si="10"/>
        <v>114.34661066763587</v>
      </c>
      <c r="O361" s="7">
        <f t="shared" si="11"/>
        <v>114.66823654525429</v>
      </c>
    </row>
    <row r="362" spans="1:15" x14ac:dyDescent="0.25">
      <c r="A362" s="57">
        <v>6405</v>
      </c>
      <c r="B362" t="s">
        <v>68</v>
      </c>
      <c r="C362" t="s">
        <v>439</v>
      </c>
      <c r="D362" s="8">
        <v>142404</v>
      </c>
      <c r="E362" s="8">
        <v>126285</v>
      </c>
      <c r="F362" s="8">
        <v>10799</v>
      </c>
      <c r="G362" s="8">
        <v>12165</v>
      </c>
      <c r="H362" s="8">
        <v>12658</v>
      </c>
      <c r="I362" s="8">
        <v>12181</v>
      </c>
      <c r="J362" s="8">
        <v>10190</v>
      </c>
      <c r="K362" s="8">
        <v>10349</v>
      </c>
      <c r="L362" s="8">
        <v>10637</v>
      </c>
      <c r="M362" s="8">
        <v>10681</v>
      </c>
      <c r="N362" s="7">
        <f t="shared" si="10"/>
        <v>112.76398622164152</v>
      </c>
      <c r="O362" s="7">
        <f t="shared" si="11"/>
        <v>114.20550923381991</v>
      </c>
    </row>
    <row r="363" spans="1:15" x14ac:dyDescent="0.25">
      <c r="A363" s="57">
        <v>6409</v>
      </c>
      <c r="B363" t="s">
        <v>68</v>
      </c>
      <c r="C363" t="s">
        <v>440</v>
      </c>
      <c r="D363" s="8">
        <v>267930</v>
      </c>
      <c r="E363" s="8">
        <v>255358</v>
      </c>
      <c r="F363" s="8">
        <v>31181</v>
      </c>
      <c r="G363" s="8">
        <v>36076</v>
      </c>
      <c r="H363" s="8">
        <v>35221</v>
      </c>
      <c r="I363" s="8">
        <v>26170</v>
      </c>
      <c r="J363" s="8">
        <v>30679</v>
      </c>
      <c r="K363" s="8">
        <v>42483</v>
      </c>
      <c r="L363" s="8">
        <v>32852</v>
      </c>
      <c r="M363" s="8">
        <v>23059</v>
      </c>
      <c r="N363" s="7">
        <f t="shared" si="10"/>
        <v>104.92328417359158</v>
      </c>
      <c r="O363" s="7">
        <f t="shared" si="11"/>
        <v>99.670728967328571</v>
      </c>
    </row>
    <row r="364" spans="1:15" x14ac:dyDescent="0.25">
      <c r="A364" s="57">
        <v>6411</v>
      </c>
      <c r="B364" t="s">
        <v>68</v>
      </c>
      <c r="C364" t="s">
        <v>441</v>
      </c>
      <c r="D364" s="8">
        <v>18042</v>
      </c>
      <c r="E364" s="8">
        <v>17203</v>
      </c>
      <c r="F364" s="8">
        <v>1324</v>
      </c>
      <c r="G364" s="8">
        <v>1503</v>
      </c>
      <c r="H364" s="8">
        <v>1713</v>
      </c>
      <c r="I364" s="8">
        <v>1495</v>
      </c>
      <c r="J364" s="8">
        <v>1553</v>
      </c>
      <c r="K364" s="8">
        <v>2035</v>
      </c>
      <c r="L364" s="8">
        <v>1722</v>
      </c>
      <c r="M364" s="8">
        <v>1175</v>
      </c>
      <c r="N364" s="7">
        <f t="shared" si="10"/>
        <v>104.87705632738475</v>
      </c>
      <c r="O364" s="7">
        <f t="shared" si="11"/>
        <v>93.060909791827299</v>
      </c>
    </row>
    <row r="365" spans="1:15" x14ac:dyDescent="0.25">
      <c r="A365" s="57">
        <v>6471</v>
      </c>
      <c r="B365" t="s">
        <v>68</v>
      </c>
      <c r="C365" t="s">
        <v>442</v>
      </c>
      <c r="D365" s="8">
        <v>374762</v>
      </c>
      <c r="E365" s="8">
        <v>361150</v>
      </c>
      <c r="F365" s="8">
        <v>29607</v>
      </c>
      <c r="G365" s="8">
        <v>30643</v>
      </c>
      <c r="H365" s="8">
        <v>30340</v>
      </c>
      <c r="I365" s="8">
        <v>29672</v>
      </c>
      <c r="J365" s="8">
        <v>27109</v>
      </c>
      <c r="K365" s="8">
        <v>28413</v>
      </c>
      <c r="L365" s="8">
        <v>29087</v>
      </c>
      <c r="M365" s="8">
        <v>28581</v>
      </c>
      <c r="N365" s="7">
        <f t="shared" si="10"/>
        <v>103.76907102312059</v>
      </c>
      <c r="O365" s="7">
        <f t="shared" si="11"/>
        <v>106.24790175810584</v>
      </c>
    </row>
    <row r="366" spans="1:15" x14ac:dyDescent="0.25">
      <c r="A366" s="57">
        <v>6472</v>
      </c>
      <c r="B366" t="s">
        <v>68</v>
      </c>
      <c r="C366" t="s">
        <v>443</v>
      </c>
      <c r="D366" s="8">
        <v>442052</v>
      </c>
      <c r="E366" s="8">
        <v>430254</v>
      </c>
      <c r="F366" s="8">
        <v>37611</v>
      </c>
      <c r="G366" s="8">
        <v>35877</v>
      </c>
      <c r="H366" s="8">
        <v>33941</v>
      </c>
      <c r="I366" s="8">
        <v>33817</v>
      </c>
      <c r="J366" s="8">
        <v>35100</v>
      </c>
      <c r="K366" s="8">
        <v>35400</v>
      </c>
      <c r="L366" s="8">
        <v>33674</v>
      </c>
      <c r="M366" s="8">
        <v>32958</v>
      </c>
      <c r="N366" s="7">
        <f t="shared" si="10"/>
        <v>102.74210117744403</v>
      </c>
      <c r="O366" s="7">
        <f t="shared" si="11"/>
        <v>103.00002916897589</v>
      </c>
    </row>
    <row r="367" spans="1:15" x14ac:dyDescent="0.25">
      <c r="A367" s="57">
        <v>6474</v>
      </c>
      <c r="B367" t="s">
        <v>68</v>
      </c>
      <c r="C367" t="s">
        <v>444</v>
      </c>
      <c r="D367" s="8">
        <v>98397</v>
      </c>
      <c r="E367" s="8">
        <v>94700</v>
      </c>
      <c r="F367" s="8">
        <v>8403</v>
      </c>
      <c r="G367" s="8">
        <v>8847</v>
      </c>
      <c r="H367" s="8">
        <v>8814</v>
      </c>
      <c r="I367" s="8">
        <v>7929</v>
      </c>
      <c r="J367" s="8">
        <v>7999</v>
      </c>
      <c r="K367" s="8">
        <v>8649</v>
      </c>
      <c r="L367" s="8">
        <v>8762</v>
      </c>
      <c r="M367" s="8">
        <v>7925</v>
      </c>
      <c r="N367" s="7">
        <f t="shared" si="10"/>
        <v>103.90390707497362</v>
      </c>
      <c r="O367" s="7">
        <f t="shared" si="11"/>
        <v>101.97390130493476</v>
      </c>
    </row>
    <row r="368" spans="1:15" x14ac:dyDescent="0.25">
      <c r="A368" s="57">
        <v>6501</v>
      </c>
      <c r="B368" t="s">
        <v>69</v>
      </c>
      <c r="C368" t="s">
        <v>445</v>
      </c>
      <c r="D368" s="8">
        <v>46813</v>
      </c>
      <c r="E368" s="8">
        <v>41632</v>
      </c>
      <c r="F368" s="8">
        <v>4028</v>
      </c>
      <c r="G368" s="8">
        <v>4050</v>
      </c>
      <c r="H368" s="8">
        <v>4067</v>
      </c>
      <c r="I368" s="8">
        <v>4008</v>
      </c>
      <c r="J368" s="8">
        <v>3854</v>
      </c>
      <c r="K368" s="8">
        <v>3617</v>
      </c>
      <c r="L368" s="8">
        <v>3519</v>
      </c>
      <c r="M368" s="8">
        <v>3410</v>
      </c>
      <c r="N368" s="7">
        <f t="shared" si="10"/>
        <v>112.44475403535741</v>
      </c>
      <c r="O368" s="7">
        <f t="shared" si="11"/>
        <v>112.1736111111111</v>
      </c>
    </row>
    <row r="369" spans="1:15" x14ac:dyDescent="0.25">
      <c r="A369" s="57">
        <v>6502</v>
      </c>
      <c r="B369" t="s">
        <v>69</v>
      </c>
      <c r="C369" t="s">
        <v>446</v>
      </c>
      <c r="D369" s="8">
        <v>87166</v>
      </c>
      <c r="E369" s="8">
        <v>77370</v>
      </c>
      <c r="F369" s="8">
        <v>7426</v>
      </c>
      <c r="G369" s="8">
        <v>7501</v>
      </c>
      <c r="H369" s="8">
        <v>7149</v>
      </c>
      <c r="I369" s="8">
        <v>7094</v>
      </c>
      <c r="J369" s="8">
        <v>6637</v>
      </c>
      <c r="K369" s="8">
        <v>6423</v>
      </c>
      <c r="L369" s="8">
        <v>6335</v>
      </c>
      <c r="M369" s="8">
        <v>6176</v>
      </c>
      <c r="N369" s="7">
        <f t="shared" si="10"/>
        <v>112.661238206023</v>
      </c>
      <c r="O369" s="7">
        <f t="shared" si="11"/>
        <v>114.07453756208206</v>
      </c>
    </row>
    <row r="370" spans="1:15" x14ac:dyDescent="0.25">
      <c r="A370" s="57">
        <v>6503</v>
      </c>
      <c r="B370" t="s">
        <v>69</v>
      </c>
      <c r="C370" t="s">
        <v>447</v>
      </c>
      <c r="D370" s="8">
        <v>15542</v>
      </c>
      <c r="E370" s="8">
        <v>13944</v>
      </c>
      <c r="F370" s="8">
        <v>1211</v>
      </c>
      <c r="G370" s="8">
        <v>1168</v>
      </c>
      <c r="H370" s="8">
        <v>1172</v>
      </c>
      <c r="I370" s="8">
        <v>1238</v>
      </c>
      <c r="J370" s="8">
        <v>1077</v>
      </c>
      <c r="K370" s="8">
        <v>1049</v>
      </c>
      <c r="L370" s="8">
        <v>1143</v>
      </c>
      <c r="M370" s="8">
        <v>1300</v>
      </c>
      <c r="N370" s="7">
        <f t="shared" si="10"/>
        <v>111.46012621916238</v>
      </c>
      <c r="O370" s="7">
        <f t="shared" si="11"/>
        <v>104.81505799956227</v>
      </c>
    </row>
    <row r="371" spans="1:15" x14ac:dyDescent="0.25">
      <c r="A371" s="57">
        <v>6504</v>
      </c>
      <c r="B371" t="s">
        <v>69</v>
      </c>
      <c r="C371" t="s">
        <v>448</v>
      </c>
      <c r="D371" s="8">
        <v>114436</v>
      </c>
      <c r="E371" s="8">
        <v>102534</v>
      </c>
      <c r="F371" s="8">
        <v>9827</v>
      </c>
      <c r="G371" s="8">
        <v>9993</v>
      </c>
      <c r="H371" s="8">
        <v>9898</v>
      </c>
      <c r="I371" s="8">
        <v>9385</v>
      </c>
      <c r="J371" s="8">
        <v>9009</v>
      </c>
      <c r="K371" s="8">
        <v>8988</v>
      </c>
      <c r="L371" s="8">
        <v>8467</v>
      </c>
      <c r="M371" s="8">
        <v>8049</v>
      </c>
      <c r="N371" s="7">
        <f t="shared" si="10"/>
        <v>111.6078569060019</v>
      </c>
      <c r="O371" s="7">
        <f t="shared" si="11"/>
        <v>113.29933648190537</v>
      </c>
    </row>
    <row r="372" spans="1:15" x14ac:dyDescent="0.25">
      <c r="A372" s="57">
        <v>6571</v>
      </c>
      <c r="B372" t="s">
        <v>69</v>
      </c>
      <c r="C372" t="s">
        <v>449</v>
      </c>
      <c r="D372" s="8">
        <v>133574</v>
      </c>
      <c r="E372" s="8">
        <v>125762</v>
      </c>
      <c r="F372" s="8">
        <v>11359</v>
      </c>
      <c r="G372" s="8">
        <v>10923</v>
      </c>
      <c r="H372" s="8">
        <v>10650</v>
      </c>
      <c r="I372" s="8">
        <v>10499</v>
      </c>
      <c r="J372" s="8">
        <v>10479</v>
      </c>
      <c r="K372" s="8">
        <v>10565</v>
      </c>
      <c r="L372" s="8">
        <v>10236</v>
      </c>
      <c r="M372" s="8">
        <v>9875</v>
      </c>
      <c r="N372" s="7">
        <f t="shared" si="10"/>
        <v>106.21173327396194</v>
      </c>
      <c r="O372" s="7">
        <f t="shared" si="11"/>
        <v>105.53031223423643</v>
      </c>
    </row>
    <row r="373" spans="1:15" x14ac:dyDescent="0.25">
      <c r="A373" s="57">
        <v>7101</v>
      </c>
      <c r="B373" t="s">
        <v>70</v>
      </c>
      <c r="C373" t="s">
        <v>450</v>
      </c>
      <c r="D373" s="8">
        <v>136811</v>
      </c>
      <c r="E373" s="8">
        <v>124587</v>
      </c>
      <c r="F373" s="8">
        <v>11145</v>
      </c>
      <c r="G373" s="8">
        <v>10880</v>
      </c>
      <c r="H373" s="8">
        <v>10648</v>
      </c>
      <c r="I373" s="8">
        <v>9197</v>
      </c>
      <c r="J373" s="8">
        <v>9423</v>
      </c>
      <c r="K373" s="8">
        <v>9737</v>
      </c>
      <c r="L373" s="8">
        <v>9096</v>
      </c>
      <c r="M373" s="8">
        <v>8249</v>
      </c>
      <c r="N373" s="7">
        <f t="shared" si="10"/>
        <v>109.81161758449917</v>
      </c>
      <c r="O373" s="7">
        <f t="shared" si="11"/>
        <v>114.69661690179427</v>
      </c>
    </row>
    <row r="374" spans="1:15" x14ac:dyDescent="0.25">
      <c r="A374" s="57">
        <v>7102</v>
      </c>
      <c r="B374" t="s">
        <v>70</v>
      </c>
      <c r="C374" t="s">
        <v>451</v>
      </c>
      <c r="D374" s="8">
        <v>181001</v>
      </c>
      <c r="E374" s="8">
        <v>175623</v>
      </c>
      <c r="F374" s="8">
        <v>13062</v>
      </c>
      <c r="G374" s="8">
        <v>13823</v>
      </c>
      <c r="H374" s="8">
        <v>13062</v>
      </c>
      <c r="I374" s="8">
        <v>12341</v>
      </c>
      <c r="J374" s="8">
        <v>12465</v>
      </c>
      <c r="K374" s="8">
        <v>12971</v>
      </c>
      <c r="L374" s="8">
        <v>12329</v>
      </c>
      <c r="M374" s="8">
        <v>11477</v>
      </c>
      <c r="N374" s="7">
        <f t="shared" si="10"/>
        <v>103.0622412781925</v>
      </c>
      <c r="O374" s="7">
        <f t="shared" si="11"/>
        <v>106.18577636976565</v>
      </c>
    </row>
    <row r="375" spans="1:15" x14ac:dyDescent="0.25">
      <c r="A375" s="57">
        <v>7103</v>
      </c>
      <c r="B375" t="s">
        <v>70</v>
      </c>
      <c r="C375" t="s">
        <v>452</v>
      </c>
      <c r="D375" s="8">
        <v>73572</v>
      </c>
      <c r="E375" s="8">
        <v>70836</v>
      </c>
      <c r="F375" s="8">
        <v>4960</v>
      </c>
      <c r="G375" s="8">
        <v>5358</v>
      </c>
      <c r="H375" s="8">
        <v>6128</v>
      </c>
      <c r="I375" s="8">
        <v>6163</v>
      </c>
      <c r="J375" s="8">
        <v>4521</v>
      </c>
      <c r="K375" s="8">
        <v>5039</v>
      </c>
      <c r="L375" s="8">
        <v>5673</v>
      </c>
      <c r="M375" s="8">
        <v>5580</v>
      </c>
      <c r="N375" s="7">
        <f t="shared" si="10"/>
        <v>103.86244282568187</v>
      </c>
      <c r="O375" s="7">
        <f t="shared" si="11"/>
        <v>108.62922212078989</v>
      </c>
    </row>
    <row r="376" spans="1:15" x14ac:dyDescent="0.25">
      <c r="A376" s="57">
        <v>7104</v>
      </c>
      <c r="B376" t="s">
        <v>70</v>
      </c>
      <c r="C376" t="s">
        <v>453</v>
      </c>
      <c r="D376" s="8">
        <v>51448</v>
      </c>
      <c r="E376" s="8">
        <v>48796</v>
      </c>
      <c r="F376" s="8">
        <v>3782</v>
      </c>
      <c r="G376" s="8">
        <v>4027</v>
      </c>
      <c r="H376" s="8">
        <v>4052</v>
      </c>
      <c r="I376" s="8">
        <v>4037</v>
      </c>
      <c r="J376" s="8">
        <v>3483</v>
      </c>
      <c r="K376" s="8">
        <v>3697</v>
      </c>
      <c r="L376" s="8">
        <v>3631</v>
      </c>
      <c r="M376" s="8">
        <v>3729</v>
      </c>
      <c r="N376" s="7">
        <f t="shared" si="10"/>
        <v>105.43487171079597</v>
      </c>
      <c r="O376" s="7">
        <f t="shared" si="11"/>
        <v>109.33975240715267</v>
      </c>
    </row>
    <row r="377" spans="1:15" x14ac:dyDescent="0.25">
      <c r="A377" s="57">
        <v>7105</v>
      </c>
      <c r="B377" t="s">
        <v>70</v>
      </c>
      <c r="C377" t="s">
        <v>454</v>
      </c>
      <c r="D377" s="8">
        <v>124958</v>
      </c>
      <c r="E377" s="8">
        <v>118726</v>
      </c>
      <c r="F377" s="8">
        <v>9643</v>
      </c>
      <c r="G377" s="8">
        <v>9788</v>
      </c>
      <c r="H377" s="8">
        <v>9050</v>
      </c>
      <c r="I377" s="8">
        <v>8163</v>
      </c>
      <c r="J377" s="8">
        <v>8918</v>
      </c>
      <c r="K377" s="8">
        <v>8944</v>
      </c>
      <c r="L377" s="8">
        <v>8176</v>
      </c>
      <c r="M377" s="8">
        <v>7562</v>
      </c>
      <c r="N377" s="7">
        <f t="shared" si="10"/>
        <v>105.24906086282701</v>
      </c>
      <c r="O377" s="7">
        <f t="shared" si="11"/>
        <v>109.05952380952382</v>
      </c>
    </row>
    <row r="378" spans="1:15" x14ac:dyDescent="0.25">
      <c r="A378" s="57">
        <v>7106</v>
      </c>
      <c r="B378" t="s">
        <v>70</v>
      </c>
      <c r="C378" t="s">
        <v>455</v>
      </c>
      <c r="D378" s="8">
        <v>120453</v>
      </c>
      <c r="E378" s="8">
        <v>117255</v>
      </c>
      <c r="F378" s="8">
        <v>8987</v>
      </c>
      <c r="G378" s="8">
        <v>9585</v>
      </c>
      <c r="H378" s="8">
        <v>9438</v>
      </c>
      <c r="I378" s="8">
        <v>9228</v>
      </c>
      <c r="J378" s="8">
        <v>8609</v>
      </c>
      <c r="K378" s="8">
        <v>8826</v>
      </c>
      <c r="L378" s="8">
        <v>9057</v>
      </c>
      <c r="M378" s="8">
        <v>8761</v>
      </c>
      <c r="N378" s="7">
        <f t="shared" si="10"/>
        <v>102.72738902392223</v>
      </c>
      <c r="O378" s="7">
        <f t="shared" si="11"/>
        <v>105.63072646299605</v>
      </c>
    </row>
    <row r="379" spans="1:15" x14ac:dyDescent="0.25">
      <c r="A379" s="57">
        <v>7107</v>
      </c>
      <c r="B379" t="s">
        <v>70</v>
      </c>
      <c r="C379" t="s">
        <v>456</v>
      </c>
      <c r="D379" s="8">
        <v>45745</v>
      </c>
      <c r="E379" s="8">
        <v>43603</v>
      </c>
      <c r="F379" s="8">
        <v>3798</v>
      </c>
      <c r="G379" s="8">
        <v>3648</v>
      </c>
      <c r="H379" s="8">
        <v>3572</v>
      </c>
      <c r="I379" s="8">
        <v>3127</v>
      </c>
      <c r="J379" s="8">
        <v>3565</v>
      </c>
      <c r="K379" s="8">
        <v>3403</v>
      </c>
      <c r="L379" s="8">
        <v>3488</v>
      </c>
      <c r="M379" s="8">
        <v>3050</v>
      </c>
      <c r="N379" s="7">
        <f t="shared" si="10"/>
        <v>104.91250602022797</v>
      </c>
      <c r="O379" s="7">
        <f t="shared" si="11"/>
        <v>104.73123056419369</v>
      </c>
    </row>
    <row r="380" spans="1:15" x14ac:dyDescent="0.25">
      <c r="A380" s="57">
        <v>7108</v>
      </c>
      <c r="B380" t="s">
        <v>70</v>
      </c>
      <c r="C380" t="s">
        <v>457</v>
      </c>
      <c r="D380" s="8">
        <v>37725</v>
      </c>
      <c r="E380" s="8">
        <v>37213</v>
      </c>
      <c r="F380" s="8">
        <v>2662</v>
      </c>
      <c r="G380" s="8">
        <v>2831</v>
      </c>
      <c r="H380" s="8">
        <v>2890</v>
      </c>
      <c r="I380" s="8">
        <v>3240</v>
      </c>
      <c r="J380" s="8">
        <v>2410</v>
      </c>
      <c r="K380" s="8">
        <v>2640</v>
      </c>
      <c r="L380" s="8">
        <v>2852</v>
      </c>
      <c r="M380" s="8">
        <v>2959</v>
      </c>
      <c r="N380" s="7">
        <f t="shared" si="10"/>
        <v>101.37586327358719</v>
      </c>
      <c r="O380" s="7">
        <f t="shared" si="11"/>
        <v>107.01592855169875</v>
      </c>
    </row>
    <row r="381" spans="1:15" x14ac:dyDescent="0.25">
      <c r="A381" s="57">
        <v>7109</v>
      </c>
      <c r="B381" t="s">
        <v>70</v>
      </c>
      <c r="C381" t="s">
        <v>458</v>
      </c>
      <c r="D381" s="8">
        <v>62994</v>
      </c>
      <c r="E381" s="8">
        <v>59611</v>
      </c>
      <c r="F381" s="8">
        <v>4987</v>
      </c>
      <c r="G381" s="8">
        <v>5013</v>
      </c>
      <c r="H381" s="8">
        <v>4712</v>
      </c>
      <c r="I381" s="8">
        <v>4173</v>
      </c>
      <c r="J381" s="8">
        <v>4695</v>
      </c>
      <c r="K381" s="8">
        <v>4729</v>
      </c>
      <c r="L381" s="8">
        <v>4197</v>
      </c>
      <c r="M381" s="8">
        <v>3723</v>
      </c>
      <c r="N381" s="7">
        <f t="shared" si="10"/>
        <v>105.6751270738622</v>
      </c>
      <c r="O381" s="7">
        <f t="shared" si="11"/>
        <v>108.88491697416973</v>
      </c>
    </row>
    <row r="382" spans="1:15" x14ac:dyDescent="0.25">
      <c r="A382" s="57">
        <v>7110</v>
      </c>
      <c r="B382" t="s">
        <v>70</v>
      </c>
      <c r="C382" t="s">
        <v>459</v>
      </c>
      <c r="D382" s="8">
        <v>38490</v>
      </c>
      <c r="E382" s="8">
        <v>36000</v>
      </c>
      <c r="F382" s="8">
        <v>3260</v>
      </c>
      <c r="G382" s="8">
        <v>3044</v>
      </c>
      <c r="H382" s="8">
        <v>3119</v>
      </c>
      <c r="I382" s="8">
        <v>2787</v>
      </c>
      <c r="J382" s="8">
        <v>2985</v>
      </c>
      <c r="K382" s="8">
        <v>2825</v>
      </c>
      <c r="L382" s="8">
        <v>2893</v>
      </c>
      <c r="M382" s="8">
        <v>2634</v>
      </c>
      <c r="N382" s="7">
        <f t="shared" si="10"/>
        <v>106.91666666666666</v>
      </c>
      <c r="O382" s="7">
        <f t="shared" si="11"/>
        <v>107.70044985445885</v>
      </c>
    </row>
    <row r="383" spans="1:15" x14ac:dyDescent="0.25">
      <c r="A383" s="57">
        <v>7111</v>
      </c>
      <c r="B383" t="s">
        <v>70</v>
      </c>
      <c r="C383" t="s">
        <v>460</v>
      </c>
      <c r="D383" s="8">
        <v>48823</v>
      </c>
      <c r="E383" s="8">
        <v>45419</v>
      </c>
      <c r="F383" s="8">
        <v>3640</v>
      </c>
      <c r="G383" s="8">
        <v>3789</v>
      </c>
      <c r="H383" s="8">
        <v>3942</v>
      </c>
      <c r="I383" s="8">
        <v>3750</v>
      </c>
      <c r="J383" s="8">
        <v>3409</v>
      </c>
      <c r="K383" s="8">
        <v>3604</v>
      </c>
      <c r="L383" s="8">
        <v>3797</v>
      </c>
      <c r="M383" s="8">
        <v>3333</v>
      </c>
      <c r="N383" s="7">
        <f t="shared" si="10"/>
        <v>107.49466082476498</v>
      </c>
      <c r="O383" s="7">
        <f t="shared" si="11"/>
        <v>106.91508166584175</v>
      </c>
    </row>
    <row r="384" spans="1:15" x14ac:dyDescent="0.25">
      <c r="A384" s="57">
        <v>7171</v>
      </c>
      <c r="B384" t="s">
        <v>70</v>
      </c>
      <c r="C384" t="s">
        <v>461</v>
      </c>
      <c r="D384" s="8">
        <v>232036</v>
      </c>
      <c r="E384" s="8">
        <v>231528</v>
      </c>
      <c r="F384" s="8">
        <v>16771</v>
      </c>
      <c r="G384" s="8">
        <v>17870</v>
      </c>
      <c r="H384" s="8">
        <v>18179</v>
      </c>
      <c r="I384" s="8">
        <v>18451</v>
      </c>
      <c r="J384" s="8">
        <v>15832</v>
      </c>
      <c r="K384" s="8">
        <v>16811</v>
      </c>
      <c r="L384" s="8">
        <v>17646</v>
      </c>
      <c r="M384" s="8">
        <v>18049</v>
      </c>
      <c r="N384" s="7">
        <f t="shared" si="10"/>
        <v>100.21941190698318</v>
      </c>
      <c r="O384" s="7">
        <f t="shared" si="11"/>
        <v>104.29190201644765</v>
      </c>
    </row>
    <row r="385" spans="1:15" x14ac:dyDescent="0.25">
      <c r="A385" s="57">
        <v>7172</v>
      </c>
      <c r="B385" t="s">
        <v>70</v>
      </c>
      <c r="C385" t="s">
        <v>462</v>
      </c>
      <c r="D385" s="8">
        <v>122684</v>
      </c>
      <c r="E385" s="8">
        <v>117156</v>
      </c>
      <c r="F385" s="8">
        <v>9594</v>
      </c>
      <c r="G385" s="8">
        <v>9692</v>
      </c>
      <c r="H385" s="8">
        <v>9745</v>
      </c>
      <c r="I385" s="8">
        <v>9619</v>
      </c>
      <c r="J385" s="8">
        <v>8931</v>
      </c>
      <c r="K385" s="8">
        <v>8932</v>
      </c>
      <c r="L385" s="8">
        <v>8903</v>
      </c>
      <c r="M385" s="8">
        <v>8883</v>
      </c>
      <c r="N385" s="7">
        <f t="shared" si="10"/>
        <v>104.71849499812215</v>
      </c>
      <c r="O385" s="7">
        <f t="shared" si="11"/>
        <v>108.41818844848383</v>
      </c>
    </row>
    <row r="386" spans="1:15" x14ac:dyDescent="0.25">
      <c r="A386" s="57">
        <v>7173</v>
      </c>
      <c r="B386" t="s">
        <v>70</v>
      </c>
      <c r="C386" t="s">
        <v>463</v>
      </c>
      <c r="D386" s="8">
        <v>53214</v>
      </c>
      <c r="E386" s="8">
        <v>52437</v>
      </c>
      <c r="F386" s="8">
        <v>3879</v>
      </c>
      <c r="G386" s="8">
        <v>4000</v>
      </c>
      <c r="H386" s="8">
        <v>3818</v>
      </c>
      <c r="I386" s="8">
        <v>3826</v>
      </c>
      <c r="J386" s="8">
        <v>3715</v>
      </c>
      <c r="K386" s="8">
        <v>3787</v>
      </c>
      <c r="L386" s="8">
        <v>3699</v>
      </c>
      <c r="M386" s="8">
        <v>3696</v>
      </c>
      <c r="N386" s="7">
        <f t="shared" si="10"/>
        <v>101.48177813376051</v>
      </c>
      <c r="O386" s="7">
        <f t="shared" si="11"/>
        <v>104.20218836007248</v>
      </c>
    </row>
    <row r="387" spans="1:15" x14ac:dyDescent="0.25">
      <c r="A387" s="57">
        <v>7174</v>
      </c>
      <c r="B387" t="s">
        <v>70</v>
      </c>
      <c r="C387" t="s">
        <v>464</v>
      </c>
      <c r="D387" s="8">
        <v>66913</v>
      </c>
      <c r="E387" s="8">
        <v>64808</v>
      </c>
      <c r="F387" s="8">
        <v>5046</v>
      </c>
      <c r="G387" s="8">
        <v>5230</v>
      </c>
      <c r="H387" s="8">
        <v>5218</v>
      </c>
      <c r="I387" s="8">
        <v>4900</v>
      </c>
      <c r="J387" s="8">
        <v>4781</v>
      </c>
      <c r="K387" s="8">
        <v>5156</v>
      </c>
      <c r="L387" s="8">
        <v>5172</v>
      </c>
      <c r="M387" s="8">
        <v>4675</v>
      </c>
      <c r="N387" s="7">
        <f t="shared" si="10"/>
        <v>103.24805579558078</v>
      </c>
      <c r="O387" s="7">
        <f t="shared" si="11"/>
        <v>103.08329963606954</v>
      </c>
    </row>
    <row r="388" spans="1:15" x14ac:dyDescent="0.25">
      <c r="A388" s="57">
        <v>7201</v>
      </c>
      <c r="B388" t="s">
        <v>71</v>
      </c>
      <c r="C388" t="s">
        <v>465</v>
      </c>
      <c r="D388" s="8">
        <v>64054</v>
      </c>
      <c r="E388" s="8">
        <v>62811</v>
      </c>
      <c r="F388" s="8">
        <v>5524</v>
      </c>
      <c r="G388" s="8">
        <v>5289</v>
      </c>
      <c r="H388" s="8">
        <v>4586</v>
      </c>
      <c r="I388" s="8">
        <v>4395</v>
      </c>
      <c r="J388" s="8">
        <v>5319</v>
      </c>
      <c r="K388" s="8">
        <v>4916</v>
      </c>
      <c r="L388" s="8">
        <v>4500</v>
      </c>
      <c r="M388" s="8">
        <v>4441</v>
      </c>
      <c r="N388" s="7">
        <f t="shared" ref="N388:N451" si="12">D388/E388*100</f>
        <v>101.97895273120949</v>
      </c>
      <c r="O388" s="7">
        <f t="shared" ref="O388:O451" si="13">SUM(F388:I388)/SUM(J388:M388)*100</f>
        <v>103.22277847309135</v>
      </c>
    </row>
    <row r="389" spans="1:15" x14ac:dyDescent="0.25">
      <c r="A389" s="57">
        <v>7202</v>
      </c>
      <c r="B389" t="s">
        <v>71</v>
      </c>
      <c r="C389" t="s">
        <v>466</v>
      </c>
      <c r="D389" s="8">
        <v>195790</v>
      </c>
      <c r="E389" s="8">
        <v>189326</v>
      </c>
      <c r="F389" s="8">
        <v>16408</v>
      </c>
      <c r="G389" s="8">
        <v>15439</v>
      </c>
      <c r="H389" s="8">
        <v>14524</v>
      </c>
      <c r="I389" s="8">
        <v>14778</v>
      </c>
      <c r="J389" s="8">
        <v>15258</v>
      </c>
      <c r="K389" s="8">
        <v>15099</v>
      </c>
      <c r="L389" s="8">
        <v>14204</v>
      </c>
      <c r="M389" s="8">
        <v>14054</v>
      </c>
      <c r="N389" s="7">
        <f t="shared" si="12"/>
        <v>103.41421674783177</v>
      </c>
      <c r="O389" s="7">
        <f t="shared" si="13"/>
        <v>104.32312547982599</v>
      </c>
    </row>
    <row r="390" spans="1:15" x14ac:dyDescent="0.25">
      <c r="A390" s="57">
        <v>7203</v>
      </c>
      <c r="B390" t="s">
        <v>71</v>
      </c>
      <c r="C390" t="s">
        <v>467</v>
      </c>
      <c r="D390" s="8">
        <v>98037</v>
      </c>
      <c r="E390" s="8">
        <v>80617</v>
      </c>
      <c r="F390" s="8">
        <v>5656</v>
      </c>
      <c r="G390" s="8">
        <v>12598</v>
      </c>
      <c r="H390" s="8">
        <v>13101</v>
      </c>
      <c r="I390" s="8">
        <v>9853</v>
      </c>
      <c r="J390" s="8">
        <v>4956</v>
      </c>
      <c r="K390" s="8">
        <v>7253</v>
      </c>
      <c r="L390" s="8">
        <v>8469</v>
      </c>
      <c r="M390" s="8">
        <v>7329</v>
      </c>
      <c r="N390" s="7">
        <f t="shared" si="12"/>
        <v>121.6083456342955</v>
      </c>
      <c r="O390" s="7">
        <f t="shared" si="13"/>
        <v>147.13464491020102</v>
      </c>
    </row>
    <row r="391" spans="1:15" x14ac:dyDescent="0.25">
      <c r="A391" s="57">
        <v>7204</v>
      </c>
      <c r="B391" t="s">
        <v>71</v>
      </c>
      <c r="C391" t="s">
        <v>468</v>
      </c>
      <c r="D391" s="8">
        <v>132956</v>
      </c>
      <c r="E391" s="8">
        <v>125812</v>
      </c>
      <c r="F391" s="8">
        <v>11093</v>
      </c>
      <c r="G391" s="8">
        <v>10238</v>
      </c>
      <c r="H391" s="8">
        <v>9859</v>
      </c>
      <c r="I391" s="8">
        <v>9515</v>
      </c>
      <c r="J391" s="8">
        <v>10010</v>
      </c>
      <c r="K391" s="8">
        <v>10104</v>
      </c>
      <c r="L391" s="8">
        <v>9611</v>
      </c>
      <c r="M391" s="8">
        <v>9208</v>
      </c>
      <c r="N391" s="7">
        <f t="shared" si="12"/>
        <v>105.67831367437128</v>
      </c>
      <c r="O391" s="7">
        <f t="shared" si="13"/>
        <v>104.55140883055505</v>
      </c>
    </row>
    <row r="392" spans="1:15" x14ac:dyDescent="0.25">
      <c r="A392" s="57">
        <v>7205</v>
      </c>
      <c r="B392" t="s">
        <v>71</v>
      </c>
      <c r="C392" t="s">
        <v>469</v>
      </c>
      <c r="D392" s="8">
        <v>162048</v>
      </c>
      <c r="E392" s="8">
        <v>154158</v>
      </c>
      <c r="F392" s="8">
        <v>14133</v>
      </c>
      <c r="G392" s="8">
        <v>13078</v>
      </c>
      <c r="H392" s="8">
        <v>12554</v>
      </c>
      <c r="I392" s="8">
        <v>11483</v>
      </c>
      <c r="J392" s="8">
        <v>12939</v>
      </c>
      <c r="K392" s="8">
        <v>12295</v>
      </c>
      <c r="L392" s="8">
        <v>11398</v>
      </c>
      <c r="M392" s="8">
        <v>10855</v>
      </c>
      <c r="N392" s="7">
        <f t="shared" si="12"/>
        <v>105.11812555949092</v>
      </c>
      <c r="O392" s="7">
        <f t="shared" si="13"/>
        <v>107.92006233284899</v>
      </c>
    </row>
    <row r="393" spans="1:15" x14ac:dyDescent="0.25">
      <c r="A393" s="57">
        <v>7206</v>
      </c>
      <c r="B393" t="s">
        <v>71</v>
      </c>
      <c r="C393" t="s">
        <v>470</v>
      </c>
      <c r="D393" s="8">
        <v>121179</v>
      </c>
      <c r="E393" s="8">
        <v>116870</v>
      </c>
      <c r="F393" s="8">
        <v>9757</v>
      </c>
      <c r="G393" s="8">
        <v>8960</v>
      </c>
      <c r="H393" s="8">
        <v>9416</v>
      </c>
      <c r="I393" s="8">
        <v>8572</v>
      </c>
      <c r="J393" s="8">
        <v>9061</v>
      </c>
      <c r="K393" s="8">
        <v>8861</v>
      </c>
      <c r="L393" s="8">
        <v>9040</v>
      </c>
      <c r="M393" s="8">
        <v>8455</v>
      </c>
      <c r="N393" s="7">
        <f t="shared" si="12"/>
        <v>103.68700265251989</v>
      </c>
      <c r="O393" s="7">
        <f t="shared" si="13"/>
        <v>103.63667165485502</v>
      </c>
    </row>
    <row r="394" spans="1:15" x14ac:dyDescent="0.25">
      <c r="A394" s="57">
        <v>7207</v>
      </c>
      <c r="B394" t="s">
        <v>71</v>
      </c>
      <c r="C394" t="s">
        <v>471</v>
      </c>
      <c r="D394" s="8">
        <v>79901</v>
      </c>
      <c r="E394" s="8">
        <v>76028</v>
      </c>
      <c r="F394" s="8">
        <v>6996</v>
      </c>
      <c r="G394" s="8">
        <v>6710</v>
      </c>
      <c r="H394" s="8">
        <v>5987</v>
      </c>
      <c r="I394" s="8">
        <v>5314</v>
      </c>
      <c r="J394" s="8">
        <v>6649</v>
      </c>
      <c r="K394" s="8">
        <v>6418</v>
      </c>
      <c r="L394" s="8">
        <v>5704</v>
      </c>
      <c r="M394" s="8">
        <v>5212</v>
      </c>
      <c r="N394" s="7">
        <f t="shared" si="12"/>
        <v>105.09417582995739</v>
      </c>
      <c r="O394" s="7">
        <f t="shared" si="13"/>
        <v>104.26969103114708</v>
      </c>
    </row>
    <row r="395" spans="1:15" x14ac:dyDescent="0.25">
      <c r="A395" s="57">
        <v>7208</v>
      </c>
      <c r="B395" t="s">
        <v>71</v>
      </c>
      <c r="C395" t="s">
        <v>472</v>
      </c>
      <c r="D395" s="8">
        <v>240229</v>
      </c>
      <c r="E395" s="8">
        <v>229439</v>
      </c>
      <c r="F395" s="8">
        <v>21480</v>
      </c>
      <c r="G395" s="8">
        <v>20467</v>
      </c>
      <c r="H395" s="8">
        <v>19106</v>
      </c>
      <c r="I395" s="8">
        <v>17404</v>
      </c>
      <c r="J395" s="8">
        <v>19811</v>
      </c>
      <c r="K395" s="8">
        <v>19219</v>
      </c>
      <c r="L395" s="8">
        <v>18257</v>
      </c>
      <c r="M395" s="8">
        <v>17130</v>
      </c>
      <c r="N395" s="7">
        <f t="shared" si="12"/>
        <v>104.70277502952854</v>
      </c>
      <c r="O395" s="7">
        <f t="shared" si="13"/>
        <v>105.42886705994599</v>
      </c>
    </row>
    <row r="396" spans="1:15" x14ac:dyDescent="0.25">
      <c r="A396" s="57">
        <v>7209</v>
      </c>
      <c r="B396" t="s">
        <v>71</v>
      </c>
      <c r="C396" t="s">
        <v>473</v>
      </c>
      <c r="D396" s="8">
        <v>89782</v>
      </c>
      <c r="E396" s="8">
        <v>84573</v>
      </c>
      <c r="F396" s="8">
        <v>7690</v>
      </c>
      <c r="G396" s="8">
        <v>7339</v>
      </c>
      <c r="H396" s="8">
        <v>6651</v>
      </c>
      <c r="I396" s="8">
        <v>6823</v>
      </c>
      <c r="J396" s="8">
        <v>6961</v>
      </c>
      <c r="K396" s="8">
        <v>6683</v>
      </c>
      <c r="L396" s="8">
        <v>6321</v>
      </c>
      <c r="M396" s="8">
        <v>6071</v>
      </c>
      <c r="N396" s="7">
        <f t="shared" si="12"/>
        <v>106.1591760963901</v>
      </c>
      <c r="O396" s="7">
        <f t="shared" si="13"/>
        <v>109.47534183438317</v>
      </c>
    </row>
    <row r="397" spans="1:15" x14ac:dyDescent="0.25">
      <c r="A397" s="57">
        <v>7210</v>
      </c>
      <c r="B397" t="s">
        <v>71</v>
      </c>
      <c r="C397" t="s">
        <v>474</v>
      </c>
      <c r="D397" s="8">
        <v>141181</v>
      </c>
      <c r="E397" s="8">
        <v>135375</v>
      </c>
      <c r="F397" s="8">
        <v>11406</v>
      </c>
      <c r="G397" s="8">
        <v>10747</v>
      </c>
      <c r="H397" s="8">
        <v>10775</v>
      </c>
      <c r="I397" s="8">
        <v>10566</v>
      </c>
      <c r="J397" s="8">
        <v>10749</v>
      </c>
      <c r="K397" s="8">
        <v>10517</v>
      </c>
      <c r="L397" s="8">
        <v>10376</v>
      </c>
      <c r="M397" s="8">
        <v>10155</v>
      </c>
      <c r="N397" s="7">
        <f t="shared" si="12"/>
        <v>104.28882733148662</v>
      </c>
      <c r="O397" s="7">
        <f t="shared" si="13"/>
        <v>104.06010000717755</v>
      </c>
    </row>
    <row r="398" spans="1:15" x14ac:dyDescent="0.25">
      <c r="A398" s="57">
        <v>7211</v>
      </c>
      <c r="B398" t="s">
        <v>71</v>
      </c>
      <c r="C398" t="s">
        <v>475</v>
      </c>
      <c r="D398" s="8">
        <v>38227</v>
      </c>
      <c r="E398" s="8">
        <v>37605</v>
      </c>
      <c r="F398" s="8">
        <v>3278</v>
      </c>
      <c r="G398" s="8">
        <v>2893</v>
      </c>
      <c r="H398" s="8">
        <v>2823</v>
      </c>
      <c r="I398" s="8">
        <v>3028</v>
      </c>
      <c r="J398" s="8">
        <v>3142</v>
      </c>
      <c r="K398" s="8">
        <v>2875</v>
      </c>
      <c r="L398" s="8">
        <v>2872</v>
      </c>
      <c r="M398" s="8">
        <v>2902</v>
      </c>
      <c r="N398" s="7">
        <f t="shared" si="12"/>
        <v>101.65403536763729</v>
      </c>
      <c r="O398" s="7">
        <f t="shared" si="13"/>
        <v>101.959121363752</v>
      </c>
    </row>
    <row r="399" spans="1:15" x14ac:dyDescent="0.25">
      <c r="A399" s="57">
        <v>7212</v>
      </c>
      <c r="B399" t="s">
        <v>71</v>
      </c>
      <c r="C399" t="s">
        <v>476</v>
      </c>
      <c r="D399" s="8">
        <v>68393</v>
      </c>
      <c r="E399" s="8">
        <v>62960</v>
      </c>
      <c r="F399" s="8">
        <v>5443</v>
      </c>
      <c r="G399" s="8">
        <v>5447</v>
      </c>
      <c r="H399" s="8">
        <v>5437</v>
      </c>
      <c r="I399" s="8">
        <v>5398</v>
      </c>
      <c r="J399" s="8">
        <v>4991</v>
      </c>
      <c r="K399" s="8">
        <v>4800</v>
      </c>
      <c r="L399" s="8">
        <v>4924</v>
      </c>
      <c r="M399" s="8">
        <v>4991</v>
      </c>
      <c r="N399" s="7">
        <f t="shared" si="12"/>
        <v>108.62928843710293</v>
      </c>
      <c r="O399" s="7">
        <f t="shared" si="13"/>
        <v>110.24561047396733</v>
      </c>
    </row>
    <row r="400" spans="1:15" x14ac:dyDescent="0.25">
      <c r="A400" s="57">
        <v>7271</v>
      </c>
      <c r="B400" t="s">
        <v>71</v>
      </c>
      <c r="C400" t="s">
        <v>477</v>
      </c>
      <c r="D400" s="8">
        <v>201684</v>
      </c>
      <c r="E400" s="8">
        <v>200733</v>
      </c>
      <c r="F400" s="8">
        <v>14768</v>
      </c>
      <c r="G400" s="8">
        <v>16550</v>
      </c>
      <c r="H400" s="8">
        <v>17491</v>
      </c>
      <c r="I400" s="8">
        <v>16802</v>
      </c>
      <c r="J400" s="8">
        <v>14275</v>
      </c>
      <c r="K400" s="8">
        <v>17091</v>
      </c>
      <c r="L400" s="8">
        <v>17871</v>
      </c>
      <c r="M400" s="8">
        <v>16369</v>
      </c>
      <c r="N400" s="7">
        <f t="shared" si="12"/>
        <v>100.47376365620002</v>
      </c>
      <c r="O400" s="7">
        <f t="shared" si="13"/>
        <v>100.00762125415359</v>
      </c>
    </row>
    <row r="401" spans="1:15" x14ac:dyDescent="0.25">
      <c r="A401" s="57">
        <v>7301</v>
      </c>
      <c r="B401" t="s">
        <v>72</v>
      </c>
      <c r="C401" t="s">
        <v>478</v>
      </c>
      <c r="D401" s="8">
        <v>71663</v>
      </c>
      <c r="E401" s="8">
        <v>74113</v>
      </c>
      <c r="F401" s="8">
        <v>7037</v>
      </c>
      <c r="G401" s="8">
        <v>6169</v>
      </c>
      <c r="H401" s="8">
        <v>5359</v>
      </c>
      <c r="I401" s="8">
        <v>5218</v>
      </c>
      <c r="J401" s="8">
        <v>6741</v>
      </c>
      <c r="K401" s="8">
        <v>6044</v>
      </c>
      <c r="L401" s="8">
        <v>5276</v>
      </c>
      <c r="M401" s="8">
        <v>5362</v>
      </c>
      <c r="N401" s="7">
        <f t="shared" si="12"/>
        <v>96.694237178362769</v>
      </c>
      <c r="O401" s="7">
        <f t="shared" si="13"/>
        <v>101.53695086026555</v>
      </c>
    </row>
    <row r="402" spans="1:15" x14ac:dyDescent="0.25">
      <c r="A402" s="57">
        <v>7302</v>
      </c>
      <c r="B402" t="s">
        <v>72</v>
      </c>
      <c r="C402" t="s">
        <v>479</v>
      </c>
      <c r="D402" s="8">
        <v>226322</v>
      </c>
      <c r="E402" s="8">
        <v>236842</v>
      </c>
      <c r="F402" s="8">
        <v>17916</v>
      </c>
      <c r="G402" s="8">
        <v>17828</v>
      </c>
      <c r="H402" s="8">
        <v>17289</v>
      </c>
      <c r="I402" s="8">
        <v>16538</v>
      </c>
      <c r="J402" s="8">
        <v>17803</v>
      </c>
      <c r="K402" s="8">
        <v>18233</v>
      </c>
      <c r="L402" s="8">
        <v>18225</v>
      </c>
      <c r="M402" s="8">
        <v>17350</v>
      </c>
      <c r="N402" s="7">
        <f t="shared" si="12"/>
        <v>95.558220248097896</v>
      </c>
      <c r="O402" s="7">
        <f t="shared" si="13"/>
        <v>97.151275642010305</v>
      </c>
    </row>
    <row r="403" spans="1:15" x14ac:dyDescent="0.25">
      <c r="A403" s="57">
        <v>7303</v>
      </c>
      <c r="B403" t="s">
        <v>72</v>
      </c>
      <c r="C403" t="s">
        <v>480</v>
      </c>
      <c r="D403" s="8">
        <v>103608</v>
      </c>
      <c r="E403" s="8">
        <v>106236</v>
      </c>
      <c r="F403" s="8">
        <v>8883</v>
      </c>
      <c r="G403" s="8">
        <v>8536</v>
      </c>
      <c r="H403" s="8">
        <v>8017</v>
      </c>
      <c r="I403" s="8">
        <v>8332</v>
      </c>
      <c r="J403" s="8">
        <v>8599</v>
      </c>
      <c r="K403" s="8">
        <v>8749</v>
      </c>
      <c r="L403" s="8">
        <v>8234</v>
      </c>
      <c r="M403" s="8">
        <v>8481</v>
      </c>
      <c r="N403" s="7">
        <f t="shared" si="12"/>
        <v>97.526262283971533</v>
      </c>
      <c r="O403" s="7">
        <f t="shared" si="13"/>
        <v>99.133957666676451</v>
      </c>
    </row>
    <row r="404" spans="1:15" x14ac:dyDescent="0.25">
      <c r="A404" s="57">
        <v>7304</v>
      </c>
      <c r="B404" t="s">
        <v>72</v>
      </c>
      <c r="C404" t="s">
        <v>481</v>
      </c>
      <c r="D404" s="8">
        <v>211792</v>
      </c>
      <c r="E404" s="8">
        <v>215875</v>
      </c>
      <c r="F404" s="8">
        <v>17243</v>
      </c>
      <c r="G404" s="8">
        <v>17697</v>
      </c>
      <c r="H404" s="8">
        <v>17858</v>
      </c>
      <c r="I404" s="8">
        <v>17177</v>
      </c>
      <c r="J404" s="8">
        <v>16891</v>
      </c>
      <c r="K404" s="8">
        <v>16959</v>
      </c>
      <c r="L404" s="8">
        <v>17410</v>
      </c>
      <c r="M404" s="8">
        <v>17404</v>
      </c>
      <c r="N404" s="7">
        <f t="shared" si="12"/>
        <v>98.108627678054432</v>
      </c>
      <c r="O404" s="7">
        <f t="shared" si="13"/>
        <v>101.90929744844459</v>
      </c>
    </row>
    <row r="405" spans="1:15" x14ac:dyDescent="0.25">
      <c r="A405" s="57">
        <v>7305</v>
      </c>
      <c r="B405" t="s">
        <v>72</v>
      </c>
      <c r="C405" t="s">
        <v>482</v>
      </c>
      <c r="D405" s="8">
        <v>159346</v>
      </c>
      <c r="E405" s="8">
        <v>165846</v>
      </c>
      <c r="F405" s="8">
        <v>12575</v>
      </c>
      <c r="G405" s="8">
        <v>12320</v>
      </c>
      <c r="H405" s="8">
        <v>13132</v>
      </c>
      <c r="I405" s="8">
        <v>12267</v>
      </c>
      <c r="J405" s="8">
        <v>12188</v>
      </c>
      <c r="K405" s="8">
        <v>12277</v>
      </c>
      <c r="L405" s="8">
        <v>13158</v>
      </c>
      <c r="M405" s="8">
        <v>12495</v>
      </c>
      <c r="N405" s="7">
        <f t="shared" si="12"/>
        <v>96.080701373563429</v>
      </c>
      <c r="O405" s="7">
        <f t="shared" si="13"/>
        <v>100.35117123588331</v>
      </c>
    </row>
    <row r="406" spans="1:15" x14ac:dyDescent="0.25">
      <c r="A406" s="57">
        <v>7306</v>
      </c>
      <c r="B406" t="s">
        <v>72</v>
      </c>
      <c r="C406" t="s">
        <v>483</v>
      </c>
      <c r="D406" s="8">
        <v>416516</v>
      </c>
      <c r="E406" s="8">
        <v>423287</v>
      </c>
      <c r="F406" s="8">
        <v>35375</v>
      </c>
      <c r="G406" s="8">
        <v>36211</v>
      </c>
      <c r="H406" s="8">
        <v>35153</v>
      </c>
      <c r="I406" s="8">
        <v>30943</v>
      </c>
      <c r="J406" s="8">
        <v>33993</v>
      </c>
      <c r="K406" s="8">
        <v>34931</v>
      </c>
      <c r="L406" s="8">
        <v>35148</v>
      </c>
      <c r="M406" s="8">
        <v>31994</v>
      </c>
      <c r="N406" s="7">
        <f t="shared" si="12"/>
        <v>98.40037610415628</v>
      </c>
      <c r="O406" s="7">
        <f t="shared" si="13"/>
        <v>101.18765893022503</v>
      </c>
    </row>
    <row r="407" spans="1:15" x14ac:dyDescent="0.25">
      <c r="A407" s="57">
        <v>7307</v>
      </c>
      <c r="B407" t="s">
        <v>72</v>
      </c>
      <c r="C407" t="s">
        <v>484</v>
      </c>
      <c r="D407" s="8">
        <v>136981</v>
      </c>
      <c r="E407" s="8">
        <v>139192</v>
      </c>
      <c r="F407" s="8">
        <v>12407</v>
      </c>
      <c r="G407" s="8">
        <v>11507</v>
      </c>
      <c r="H407" s="8">
        <v>10752</v>
      </c>
      <c r="I407" s="8">
        <v>9894</v>
      </c>
      <c r="J407" s="8">
        <v>11834</v>
      </c>
      <c r="K407" s="8">
        <v>11353</v>
      </c>
      <c r="L407" s="8">
        <v>10628</v>
      </c>
      <c r="M407" s="8">
        <v>9804</v>
      </c>
      <c r="N407" s="7">
        <f t="shared" si="12"/>
        <v>98.411546640611519</v>
      </c>
      <c r="O407" s="7">
        <f t="shared" si="13"/>
        <v>102.15731676562964</v>
      </c>
    </row>
    <row r="408" spans="1:15" x14ac:dyDescent="0.25">
      <c r="A408" s="57">
        <v>7308</v>
      </c>
      <c r="B408" t="s">
        <v>72</v>
      </c>
      <c r="C408" t="s">
        <v>485</v>
      </c>
      <c r="D408" s="8">
        <v>213258</v>
      </c>
      <c r="E408" s="8">
        <v>211334</v>
      </c>
      <c r="F408" s="8">
        <v>16988</v>
      </c>
      <c r="G408" s="8">
        <v>17179</v>
      </c>
      <c r="H408" s="8">
        <v>18376</v>
      </c>
      <c r="I408" s="8">
        <v>17821</v>
      </c>
      <c r="J408" s="8">
        <v>16273</v>
      </c>
      <c r="K408" s="8">
        <v>16140</v>
      </c>
      <c r="L408" s="8">
        <v>17858</v>
      </c>
      <c r="M408" s="8">
        <v>17216</v>
      </c>
      <c r="N408" s="7">
        <f t="shared" si="12"/>
        <v>100.91040722269015</v>
      </c>
      <c r="O408" s="7">
        <f t="shared" si="13"/>
        <v>104.26304325277459</v>
      </c>
    </row>
    <row r="409" spans="1:15" x14ac:dyDescent="0.25">
      <c r="A409" s="57">
        <v>7309</v>
      </c>
      <c r="B409" t="s">
        <v>72</v>
      </c>
      <c r="C409" t="s">
        <v>486</v>
      </c>
      <c r="D409" s="8">
        <v>180010</v>
      </c>
      <c r="E409" s="8">
        <v>186182</v>
      </c>
      <c r="F409" s="8">
        <v>16484</v>
      </c>
      <c r="G409" s="8">
        <v>16361</v>
      </c>
      <c r="H409" s="8">
        <v>14335</v>
      </c>
      <c r="I409" s="8">
        <v>12992</v>
      </c>
      <c r="J409" s="8">
        <v>15779</v>
      </c>
      <c r="K409" s="8">
        <v>15601</v>
      </c>
      <c r="L409" s="8">
        <v>14258</v>
      </c>
      <c r="M409" s="8">
        <v>13330</v>
      </c>
      <c r="N409" s="7">
        <f t="shared" si="12"/>
        <v>96.684964174839678</v>
      </c>
      <c r="O409" s="7">
        <f t="shared" si="13"/>
        <v>102.04178537511869</v>
      </c>
    </row>
    <row r="410" spans="1:15" x14ac:dyDescent="0.25">
      <c r="A410" s="57">
        <v>7310</v>
      </c>
      <c r="B410" t="s">
        <v>72</v>
      </c>
      <c r="C410" t="s">
        <v>487</v>
      </c>
      <c r="D410" s="8">
        <v>93993</v>
      </c>
      <c r="E410" s="8">
        <v>97697</v>
      </c>
      <c r="F410" s="8">
        <v>7563</v>
      </c>
      <c r="G410" s="8">
        <v>7427</v>
      </c>
      <c r="H410" s="8">
        <v>7412</v>
      </c>
      <c r="I410" s="8">
        <v>6330</v>
      </c>
      <c r="J410" s="8">
        <v>7183</v>
      </c>
      <c r="K410" s="8">
        <v>7567</v>
      </c>
      <c r="L410" s="8">
        <v>7226</v>
      </c>
      <c r="M410" s="8">
        <v>6608</v>
      </c>
      <c r="N410" s="7">
        <f t="shared" si="12"/>
        <v>96.20868603948945</v>
      </c>
      <c r="O410" s="7">
        <f t="shared" si="13"/>
        <v>100.5177721802407</v>
      </c>
    </row>
    <row r="411" spans="1:15" x14ac:dyDescent="0.25">
      <c r="A411" s="57">
        <v>7311</v>
      </c>
      <c r="B411" t="s">
        <v>72</v>
      </c>
      <c r="C411" t="s">
        <v>488</v>
      </c>
      <c r="D411" s="8">
        <v>413862</v>
      </c>
      <c r="E411" s="8">
        <v>430159</v>
      </c>
      <c r="F411" s="8">
        <v>37038</v>
      </c>
      <c r="G411" s="8">
        <v>36190</v>
      </c>
      <c r="H411" s="8">
        <v>33991</v>
      </c>
      <c r="I411" s="8">
        <v>28745</v>
      </c>
      <c r="J411" s="8">
        <v>35038</v>
      </c>
      <c r="K411" s="8">
        <v>34424</v>
      </c>
      <c r="L411" s="8">
        <v>32931</v>
      </c>
      <c r="M411" s="8">
        <v>29537</v>
      </c>
      <c r="N411" s="7">
        <f t="shared" si="12"/>
        <v>96.211400900597226</v>
      </c>
      <c r="O411" s="7">
        <f t="shared" si="13"/>
        <v>103.05768210414614</v>
      </c>
    </row>
    <row r="412" spans="1:15" x14ac:dyDescent="0.25">
      <c r="A412" s="57">
        <v>7312</v>
      </c>
      <c r="B412" t="s">
        <v>72</v>
      </c>
      <c r="C412" t="s">
        <v>489</v>
      </c>
      <c r="D412" s="8">
        <v>117064</v>
      </c>
      <c r="E412" s="8">
        <v>124396</v>
      </c>
      <c r="F412" s="8">
        <v>9325</v>
      </c>
      <c r="G412" s="8">
        <v>9575</v>
      </c>
      <c r="H412" s="8">
        <v>9325</v>
      </c>
      <c r="I412" s="8">
        <v>7715</v>
      </c>
      <c r="J412" s="8">
        <v>8897</v>
      </c>
      <c r="K412" s="8">
        <v>9191</v>
      </c>
      <c r="L412" s="8">
        <v>9090</v>
      </c>
      <c r="M412" s="8">
        <v>7670</v>
      </c>
      <c r="N412" s="7">
        <f t="shared" si="12"/>
        <v>94.105919804495315</v>
      </c>
      <c r="O412" s="7">
        <f t="shared" si="13"/>
        <v>103.133608815427</v>
      </c>
    </row>
    <row r="413" spans="1:15" x14ac:dyDescent="0.25">
      <c r="A413" s="57">
        <v>7313</v>
      </c>
      <c r="B413" t="s">
        <v>72</v>
      </c>
      <c r="C413" t="s">
        <v>490</v>
      </c>
      <c r="D413" s="8">
        <v>191722</v>
      </c>
      <c r="E413" s="8">
        <v>202025</v>
      </c>
      <c r="F413" s="8">
        <v>14317</v>
      </c>
      <c r="G413" s="8">
        <v>13164</v>
      </c>
      <c r="H413" s="8">
        <v>14613</v>
      </c>
      <c r="I413" s="8">
        <v>15276</v>
      </c>
      <c r="J413" s="8">
        <v>13551</v>
      </c>
      <c r="K413" s="8">
        <v>13031</v>
      </c>
      <c r="L413" s="8">
        <v>14837</v>
      </c>
      <c r="M413" s="8">
        <v>15645</v>
      </c>
      <c r="N413" s="7">
        <f t="shared" si="12"/>
        <v>94.900136121767105</v>
      </c>
      <c r="O413" s="7">
        <f t="shared" si="13"/>
        <v>100.53624001121548</v>
      </c>
    </row>
    <row r="414" spans="1:15" x14ac:dyDescent="0.25">
      <c r="A414" s="57">
        <v>7314</v>
      </c>
      <c r="B414" t="s">
        <v>72</v>
      </c>
      <c r="C414" t="s">
        <v>491</v>
      </c>
      <c r="D414" s="8">
        <v>166557</v>
      </c>
      <c r="E414" s="8">
        <v>169688</v>
      </c>
      <c r="F414" s="8">
        <v>13800</v>
      </c>
      <c r="G414" s="8">
        <v>13646</v>
      </c>
      <c r="H414" s="8">
        <v>13044</v>
      </c>
      <c r="I414" s="8">
        <v>12163</v>
      </c>
      <c r="J414" s="8">
        <v>13079</v>
      </c>
      <c r="K414" s="8">
        <v>13076</v>
      </c>
      <c r="L414" s="8">
        <v>12575</v>
      </c>
      <c r="M414" s="8">
        <v>11999</v>
      </c>
      <c r="N414" s="7">
        <f t="shared" si="12"/>
        <v>98.154848899156093</v>
      </c>
      <c r="O414" s="7">
        <f t="shared" si="13"/>
        <v>103.79270239902225</v>
      </c>
    </row>
    <row r="415" spans="1:15" x14ac:dyDescent="0.25">
      <c r="A415" s="57">
        <v>7315</v>
      </c>
      <c r="B415" t="s">
        <v>72</v>
      </c>
      <c r="C415" t="s">
        <v>492</v>
      </c>
      <c r="D415" s="8">
        <v>215260</v>
      </c>
      <c r="E415" s="8">
        <v>219806</v>
      </c>
      <c r="F415" s="8">
        <v>17779</v>
      </c>
      <c r="G415" s="8">
        <v>17771</v>
      </c>
      <c r="H415" s="8">
        <v>16580</v>
      </c>
      <c r="I415" s="8">
        <v>15450</v>
      </c>
      <c r="J415" s="8">
        <v>17358</v>
      </c>
      <c r="K415" s="8">
        <v>17549</v>
      </c>
      <c r="L415" s="8">
        <v>16569</v>
      </c>
      <c r="M415" s="8">
        <v>15584</v>
      </c>
      <c r="N415" s="7">
        <f t="shared" si="12"/>
        <v>97.931812598382209</v>
      </c>
      <c r="O415" s="7">
        <f t="shared" si="13"/>
        <v>100.77542499254399</v>
      </c>
    </row>
    <row r="416" spans="1:15" x14ac:dyDescent="0.25">
      <c r="A416" s="57">
        <v>7316</v>
      </c>
      <c r="B416" t="s">
        <v>72</v>
      </c>
      <c r="C416" t="s">
        <v>493</v>
      </c>
      <c r="D416" s="8">
        <v>124352</v>
      </c>
      <c r="E416" s="8">
        <v>120904</v>
      </c>
      <c r="F416" s="8">
        <v>12686</v>
      </c>
      <c r="G416" s="8">
        <v>12001</v>
      </c>
      <c r="H416" s="8">
        <v>10345</v>
      </c>
      <c r="I416" s="8">
        <v>8305</v>
      </c>
      <c r="J416" s="8">
        <v>11810</v>
      </c>
      <c r="K416" s="8">
        <v>11555</v>
      </c>
      <c r="L416" s="8">
        <v>9958</v>
      </c>
      <c r="M416" s="8">
        <v>7875</v>
      </c>
      <c r="N416" s="7">
        <f t="shared" si="12"/>
        <v>102.8518494011778</v>
      </c>
      <c r="O416" s="7">
        <f t="shared" si="13"/>
        <v>105.19199961163164</v>
      </c>
    </row>
    <row r="417" spans="1:15" x14ac:dyDescent="0.25">
      <c r="A417" s="57">
        <v>7317</v>
      </c>
      <c r="B417" t="s">
        <v>72</v>
      </c>
      <c r="C417" t="s">
        <v>494</v>
      </c>
      <c r="D417" s="8">
        <v>199243</v>
      </c>
      <c r="E417" s="8">
        <v>194963</v>
      </c>
      <c r="F417" s="8">
        <v>18706</v>
      </c>
      <c r="G417" s="8">
        <v>17935</v>
      </c>
      <c r="H417" s="8">
        <v>16398</v>
      </c>
      <c r="I417" s="8">
        <v>14096</v>
      </c>
      <c r="J417" s="8">
        <v>16893</v>
      </c>
      <c r="K417" s="8">
        <v>17253</v>
      </c>
      <c r="L417" s="8">
        <v>15701</v>
      </c>
      <c r="M417" s="8">
        <v>13737</v>
      </c>
      <c r="N417" s="7">
        <f t="shared" si="12"/>
        <v>102.19528833676132</v>
      </c>
      <c r="O417" s="7">
        <f t="shared" si="13"/>
        <v>105.58473829894312</v>
      </c>
    </row>
    <row r="418" spans="1:15" x14ac:dyDescent="0.25">
      <c r="A418" s="57">
        <v>7318</v>
      </c>
      <c r="B418" t="s">
        <v>72</v>
      </c>
      <c r="C418" t="s">
        <v>495</v>
      </c>
      <c r="D418" s="8">
        <v>153919</v>
      </c>
      <c r="E418" s="8">
        <v>144289</v>
      </c>
      <c r="F418" s="8">
        <v>14901</v>
      </c>
      <c r="G418" s="8">
        <v>13861</v>
      </c>
      <c r="H418" s="8">
        <v>12686</v>
      </c>
      <c r="I418" s="8">
        <v>12102</v>
      </c>
      <c r="J418" s="8">
        <v>13655</v>
      </c>
      <c r="K418" s="8">
        <v>13122</v>
      </c>
      <c r="L418" s="8">
        <v>11446</v>
      </c>
      <c r="M418" s="8">
        <v>10517</v>
      </c>
      <c r="N418" s="7">
        <f t="shared" si="12"/>
        <v>106.67410544116322</v>
      </c>
      <c r="O418" s="7">
        <f t="shared" si="13"/>
        <v>109.86869101354124</v>
      </c>
    </row>
    <row r="419" spans="1:15" x14ac:dyDescent="0.25">
      <c r="A419" s="57">
        <v>7322</v>
      </c>
      <c r="B419" t="s">
        <v>72</v>
      </c>
      <c r="C419" t="s">
        <v>496</v>
      </c>
      <c r="D419" s="8">
        <v>173807</v>
      </c>
      <c r="E419" s="8">
        <v>171514</v>
      </c>
      <c r="F419" s="8">
        <v>16621</v>
      </c>
      <c r="G419" s="8">
        <v>15759</v>
      </c>
      <c r="H419" s="8">
        <v>13871</v>
      </c>
      <c r="I419" s="8">
        <v>12128</v>
      </c>
      <c r="J419" s="8">
        <v>15262</v>
      </c>
      <c r="K419" s="8">
        <v>16087</v>
      </c>
      <c r="L419" s="8">
        <v>13726</v>
      </c>
      <c r="M419" s="8">
        <v>11880</v>
      </c>
      <c r="N419" s="7">
        <f t="shared" si="12"/>
        <v>101.33691710297701</v>
      </c>
      <c r="O419" s="7">
        <f t="shared" si="13"/>
        <v>102.50021947151259</v>
      </c>
    </row>
    <row r="420" spans="1:15" x14ac:dyDescent="0.25">
      <c r="A420" s="57">
        <v>7325</v>
      </c>
      <c r="B420" t="s">
        <v>72</v>
      </c>
      <c r="C420" t="s">
        <v>497</v>
      </c>
      <c r="D420" s="8">
        <v>164076</v>
      </c>
      <c r="E420" s="8">
        <v>156945</v>
      </c>
      <c r="F420" s="8">
        <v>13924</v>
      </c>
      <c r="G420" s="8">
        <v>13309</v>
      </c>
      <c r="H420" s="8">
        <v>13080</v>
      </c>
      <c r="I420" s="8">
        <v>11941</v>
      </c>
      <c r="J420" s="8">
        <v>13433</v>
      </c>
      <c r="K420" s="8">
        <v>13190</v>
      </c>
      <c r="L420" s="8">
        <v>12475</v>
      </c>
      <c r="M420" s="8">
        <v>11639</v>
      </c>
      <c r="N420" s="7">
        <f t="shared" si="12"/>
        <v>104.54362993405333</v>
      </c>
      <c r="O420" s="7">
        <f t="shared" si="13"/>
        <v>102.9899284545795</v>
      </c>
    </row>
    <row r="421" spans="1:15" x14ac:dyDescent="0.25">
      <c r="A421" s="57">
        <v>7326</v>
      </c>
      <c r="B421" t="s">
        <v>72</v>
      </c>
      <c r="C421" t="s">
        <v>498</v>
      </c>
      <c r="D421" s="8">
        <v>146021</v>
      </c>
      <c r="E421" s="8">
        <v>140647</v>
      </c>
      <c r="F421" s="8">
        <v>14100</v>
      </c>
      <c r="G421" s="8">
        <v>13216</v>
      </c>
      <c r="H421" s="8">
        <v>11268</v>
      </c>
      <c r="I421" s="8">
        <v>9643</v>
      </c>
      <c r="J421" s="8">
        <v>13131</v>
      </c>
      <c r="K421" s="8">
        <v>12332</v>
      </c>
      <c r="L421" s="8">
        <v>10419</v>
      </c>
      <c r="M421" s="8">
        <v>9004</v>
      </c>
      <c r="N421" s="7">
        <f t="shared" si="12"/>
        <v>103.82091335044473</v>
      </c>
      <c r="O421" s="7">
        <f t="shared" si="13"/>
        <v>107.44330080648754</v>
      </c>
    </row>
    <row r="422" spans="1:15" x14ac:dyDescent="0.25">
      <c r="A422" s="57">
        <v>7371</v>
      </c>
      <c r="B422" t="s">
        <v>72</v>
      </c>
      <c r="C422" t="s">
        <v>499</v>
      </c>
      <c r="D422" s="8">
        <v>737787</v>
      </c>
      <c r="E422" s="8">
        <v>744966</v>
      </c>
      <c r="F422" s="8">
        <v>67267</v>
      </c>
      <c r="G422" s="8">
        <v>65018</v>
      </c>
      <c r="H422" s="8">
        <v>61164</v>
      </c>
      <c r="I422" s="8">
        <v>59134</v>
      </c>
      <c r="J422" s="8">
        <v>63045</v>
      </c>
      <c r="K422" s="8">
        <v>61158</v>
      </c>
      <c r="L422" s="8">
        <v>59631</v>
      </c>
      <c r="M422" s="8">
        <v>58680</v>
      </c>
      <c r="N422" s="7">
        <f t="shared" si="12"/>
        <v>99.036331859440565</v>
      </c>
      <c r="O422" s="7">
        <f t="shared" si="13"/>
        <v>104.15192524967631</v>
      </c>
    </row>
    <row r="423" spans="1:15" x14ac:dyDescent="0.25">
      <c r="A423" s="57">
        <v>7372</v>
      </c>
      <c r="B423" t="s">
        <v>72</v>
      </c>
      <c r="C423" t="s">
        <v>500</v>
      </c>
      <c r="D423" s="8">
        <v>82469</v>
      </c>
      <c r="E423" s="8">
        <v>83376</v>
      </c>
      <c r="F423" s="8">
        <v>6891</v>
      </c>
      <c r="G423" s="8">
        <v>6823</v>
      </c>
      <c r="H423" s="8">
        <v>6893</v>
      </c>
      <c r="I423" s="8">
        <v>6492</v>
      </c>
      <c r="J423" s="8">
        <v>6590</v>
      </c>
      <c r="K423" s="8">
        <v>6886</v>
      </c>
      <c r="L423" s="8">
        <v>6887</v>
      </c>
      <c r="M423" s="8">
        <v>6398</v>
      </c>
      <c r="N423" s="7">
        <f t="shared" si="12"/>
        <v>98.912156975628477</v>
      </c>
      <c r="O423" s="7">
        <f t="shared" si="13"/>
        <v>101.26303202421434</v>
      </c>
    </row>
    <row r="424" spans="1:15" x14ac:dyDescent="0.25">
      <c r="A424" s="57">
        <v>7373</v>
      </c>
      <c r="B424" t="s">
        <v>72</v>
      </c>
      <c r="C424" t="s">
        <v>501</v>
      </c>
      <c r="D424" s="8">
        <v>101195</v>
      </c>
      <c r="E424" s="8">
        <v>100191</v>
      </c>
      <c r="F424" s="8">
        <v>8799</v>
      </c>
      <c r="G424" s="8">
        <v>8805</v>
      </c>
      <c r="H424" s="8">
        <v>8593</v>
      </c>
      <c r="I424" s="8">
        <v>8507</v>
      </c>
      <c r="J424" s="8">
        <v>8599</v>
      </c>
      <c r="K424" s="8">
        <v>8911</v>
      </c>
      <c r="L424" s="8">
        <v>8749</v>
      </c>
      <c r="M424" s="8">
        <v>8374</v>
      </c>
      <c r="N424" s="7">
        <f t="shared" si="12"/>
        <v>101.00208601570999</v>
      </c>
      <c r="O424" s="7">
        <f t="shared" si="13"/>
        <v>100.20500678543584</v>
      </c>
    </row>
    <row r="425" spans="1:15" x14ac:dyDescent="0.25">
      <c r="A425" s="57">
        <v>7401</v>
      </c>
      <c r="B425" t="s">
        <v>73</v>
      </c>
      <c r="C425" t="s">
        <v>502</v>
      </c>
      <c r="D425" s="8">
        <v>63381</v>
      </c>
      <c r="E425" s="8">
        <v>62273</v>
      </c>
      <c r="F425" s="8">
        <v>6231</v>
      </c>
      <c r="G425" s="8">
        <v>5842</v>
      </c>
      <c r="H425" s="8">
        <v>5162</v>
      </c>
      <c r="I425" s="8">
        <v>4314</v>
      </c>
      <c r="J425" s="8">
        <v>5740</v>
      </c>
      <c r="K425" s="8">
        <v>5509</v>
      </c>
      <c r="L425" s="8">
        <v>4977</v>
      </c>
      <c r="M425" s="8">
        <v>4263</v>
      </c>
      <c r="N425" s="7">
        <f t="shared" si="12"/>
        <v>101.77926228060315</v>
      </c>
      <c r="O425" s="7">
        <f t="shared" si="13"/>
        <v>105.17350773585828</v>
      </c>
    </row>
    <row r="426" spans="1:15" x14ac:dyDescent="0.25">
      <c r="A426" s="57">
        <v>7402</v>
      </c>
      <c r="B426" t="s">
        <v>73</v>
      </c>
      <c r="C426" t="s">
        <v>503</v>
      </c>
      <c r="D426" s="8">
        <v>115711</v>
      </c>
      <c r="E426" s="8">
        <v>118828</v>
      </c>
      <c r="F426" s="8">
        <v>11636</v>
      </c>
      <c r="G426" s="8">
        <v>10986</v>
      </c>
      <c r="H426" s="8">
        <v>8652</v>
      </c>
      <c r="I426" s="8">
        <v>7149</v>
      </c>
      <c r="J426" s="8">
        <v>10899</v>
      </c>
      <c r="K426" s="8">
        <v>10099</v>
      </c>
      <c r="L426" s="8">
        <v>8307</v>
      </c>
      <c r="M426" s="8">
        <v>7718</v>
      </c>
      <c r="N426" s="7">
        <f t="shared" si="12"/>
        <v>97.376880869828668</v>
      </c>
      <c r="O426" s="7">
        <f t="shared" si="13"/>
        <v>103.78143316316883</v>
      </c>
    </row>
    <row r="427" spans="1:15" x14ac:dyDescent="0.25">
      <c r="A427" s="57">
        <v>7403</v>
      </c>
      <c r="B427" t="s">
        <v>73</v>
      </c>
      <c r="C427" t="s">
        <v>504</v>
      </c>
      <c r="D427" s="8">
        <v>146024</v>
      </c>
      <c r="E427" s="8">
        <v>136975</v>
      </c>
      <c r="F427" s="8">
        <v>12686</v>
      </c>
      <c r="G427" s="8">
        <v>12686</v>
      </c>
      <c r="H427" s="8">
        <v>12110</v>
      </c>
      <c r="I427" s="8">
        <v>10928</v>
      </c>
      <c r="J427" s="8">
        <v>11642</v>
      </c>
      <c r="K427" s="8">
        <v>11520</v>
      </c>
      <c r="L427" s="8">
        <v>10859</v>
      </c>
      <c r="M427" s="8">
        <v>9980</v>
      </c>
      <c r="N427" s="7">
        <f t="shared" si="12"/>
        <v>106.60631502098923</v>
      </c>
      <c r="O427" s="7">
        <f t="shared" si="13"/>
        <v>110.02022681302697</v>
      </c>
    </row>
    <row r="428" spans="1:15" x14ac:dyDescent="0.25">
      <c r="A428" s="57">
        <v>7404</v>
      </c>
      <c r="B428" t="s">
        <v>73</v>
      </c>
      <c r="C428" t="s">
        <v>505</v>
      </c>
      <c r="D428" s="8">
        <v>129716</v>
      </c>
      <c r="E428" s="8">
        <v>124554</v>
      </c>
      <c r="F428" s="8">
        <v>10777</v>
      </c>
      <c r="G428" s="8">
        <v>10386</v>
      </c>
      <c r="H428" s="8">
        <v>10026</v>
      </c>
      <c r="I428" s="8">
        <v>9423</v>
      </c>
      <c r="J428" s="8">
        <v>10137</v>
      </c>
      <c r="K428" s="8">
        <v>9720</v>
      </c>
      <c r="L428" s="8">
        <v>9619</v>
      </c>
      <c r="M428" s="8">
        <v>9214</v>
      </c>
      <c r="N428" s="7">
        <f t="shared" si="12"/>
        <v>104.14438717343482</v>
      </c>
      <c r="O428" s="7">
        <f t="shared" si="13"/>
        <v>104.96769191005428</v>
      </c>
    </row>
    <row r="429" spans="1:15" x14ac:dyDescent="0.25">
      <c r="A429" s="57">
        <v>7405</v>
      </c>
      <c r="B429" t="s">
        <v>73</v>
      </c>
      <c r="C429" t="s">
        <v>506</v>
      </c>
      <c r="D429" s="8">
        <v>173636</v>
      </c>
      <c r="E429" s="8">
        <v>166386</v>
      </c>
      <c r="F429" s="8">
        <v>14718</v>
      </c>
      <c r="G429" s="8">
        <v>14519</v>
      </c>
      <c r="H429" s="8">
        <v>14105</v>
      </c>
      <c r="I429" s="8">
        <v>12309</v>
      </c>
      <c r="J429" s="8">
        <v>13712</v>
      </c>
      <c r="K429" s="8">
        <v>13730</v>
      </c>
      <c r="L429" s="8">
        <v>13218</v>
      </c>
      <c r="M429" s="8">
        <v>11957</v>
      </c>
      <c r="N429" s="7">
        <f t="shared" si="12"/>
        <v>104.35733775678241</v>
      </c>
      <c r="O429" s="7">
        <f t="shared" si="13"/>
        <v>105.76619723663454</v>
      </c>
    </row>
    <row r="430" spans="1:15" x14ac:dyDescent="0.25">
      <c r="A430" s="57">
        <v>7406</v>
      </c>
      <c r="B430" t="s">
        <v>73</v>
      </c>
      <c r="C430" t="s">
        <v>507</v>
      </c>
      <c r="D430" s="8">
        <v>83674</v>
      </c>
      <c r="E430" s="8">
        <v>81916</v>
      </c>
      <c r="F430" s="8">
        <v>6338</v>
      </c>
      <c r="G430" s="8">
        <v>6656</v>
      </c>
      <c r="H430" s="8">
        <v>6612</v>
      </c>
      <c r="I430" s="8">
        <v>6437</v>
      </c>
      <c r="J430" s="8">
        <v>6015</v>
      </c>
      <c r="K430" s="8">
        <v>6399</v>
      </c>
      <c r="L430" s="8">
        <v>6497</v>
      </c>
      <c r="M430" s="8">
        <v>6405</v>
      </c>
      <c r="N430" s="7">
        <f t="shared" si="12"/>
        <v>102.14610088383222</v>
      </c>
      <c r="O430" s="7">
        <f t="shared" si="13"/>
        <v>102.87170169063043</v>
      </c>
    </row>
    <row r="431" spans="1:15" x14ac:dyDescent="0.25">
      <c r="A431" s="57">
        <v>7407</v>
      </c>
      <c r="B431" t="s">
        <v>73</v>
      </c>
      <c r="C431" t="s">
        <v>508</v>
      </c>
      <c r="D431" s="8">
        <v>61204</v>
      </c>
      <c r="E431" s="8">
        <v>60584</v>
      </c>
      <c r="F431" s="8">
        <v>5000</v>
      </c>
      <c r="G431" s="8">
        <v>5266</v>
      </c>
      <c r="H431" s="8">
        <v>5183</v>
      </c>
      <c r="I431" s="8">
        <v>4861</v>
      </c>
      <c r="J431" s="8">
        <v>4987</v>
      </c>
      <c r="K431" s="8">
        <v>5092</v>
      </c>
      <c r="L431" s="8">
        <v>4903</v>
      </c>
      <c r="M431" s="8">
        <v>4585</v>
      </c>
      <c r="N431" s="7">
        <f t="shared" si="12"/>
        <v>101.02337250759277</v>
      </c>
      <c r="O431" s="7">
        <f t="shared" si="13"/>
        <v>103.7972095875709</v>
      </c>
    </row>
    <row r="432" spans="1:15" x14ac:dyDescent="0.25">
      <c r="A432" s="57">
        <v>7408</v>
      </c>
      <c r="B432" t="s">
        <v>73</v>
      </c>
      <c r="C432" t="s">
        <v>509</v>
      </c>
      <c r="D432" s="8">
        <v>78566</v>
      </c>
      <c r="E432" s="8">
        <v>75610</v>
      </c>
      <c r="F432" s="8">
        <v>6723</v>
      </c>
      <c r="G432" s="8">
        <v>6600</v>
      </c>
      <c r="H432" s="8">
        <v>6343</v>
      </c>
      <c r="I432" s="8">
        <v>6375</v>
      </c>
      <c r="J432" s="8">
        <v>6395</v>
      </c>
      <c r="K432" s="8">
        <v>6563</v>
      </c>
      <c r="L432" s="8">
        <v>6221</v>
      </c>
      <c r="M432" s="8">
        <v>6154</v>
      </c>
      <c r="N432" s="7">
        <f t="shared" si="12"/>
        <v>103.90953577569104</v>
      </c>
      <c r="O432" s="7">
        <f t="shared" si="13"/>
        <v>102.79477361544231</v>
      </c>
    </row>
    <row r="433" spans="1:15" x14ac:dyDescent="0.25">
      <c r="A433" s="57">
        <v>7409</v>
      </c>
      <c r="B433" t="s">
        <v>73</v>
      </c>
      <c r="C433" t="s">
        <v>510</v>
      </c>
      <c r="D433" s="8">
        <v>36336</v>
      </c>
      <c r="E433" s="8">
        <v>35070</v>
      </c>
      <c r="F433" s="8">
        <v>3206</v>
      </c>
      <c r="G433" s="8">
        <v>2972</v>
      </c>
      <c r="H433" s="8">
        <v>2840</v>
      </c>
      <c r="I433" s="8">
        <v>2788</v>
      </c>
      <c r="J433" s="8">
        <v>2843</v>
      </c>
      <c r="K433" s="8">
        <v>2704</v>
      </c>
      <c r="L433" s="8">
        <v>2730</v>
      </c>
      <c r="M433" s="8">
        <v>2736</v>
      </c>
      <c r="N433" s="7">
        <f t="shared" si="12"/>
        <v>103.60992301112061</v>
      </c>
      <c r="O433" s="7">
        <f t="shared" si="13"/>
        <v>107.20058113139017</v>
      </c>
    </row>
    <row r="434" spans="1:15" x14ac:dyDescent="0.25">
      <c r="A434" s="57">
        <v>7410</v>
      </c>
      <c r="B434" t="s">
        <v>73</v>
      </c>
      <c r="C434" t="s">
        <v>511</v>
      </c>
      <c r="D434" s="8">
        <v>39508</v>
      </c>
      <c r="E434" s="8">
        <v>37458</v>
      </c>
      <c r="F434" s="8">
        <v>3296</v>
      </c>
      <c r="G434" s="8">
        <v>3246</v>
      </c>
      <c r="H434" s="8">
        <v>3241</v>
      </c>
      <c r="I434" s="8">
        <v>3145</v>
      </c>
      <c r="J434" s="8">
        <v>3314</v>
      </c>
      <c r="K434" s="8">
        <v>3013</v>
      </c>
      <c r="L434" s="8">
        <v>3105</v>
      </c>
      <c r="M434" s="8">
        <v>2852</v>
      </c>
      <c r="N434" s="7">
        <f t="shared" si="12"/>
        <v>105.47279619840889</v>
      </c>
      <c r="O434" s="7">
        <f t="shared" si="13"/>
        <v>105.24259198957995</v>
      </c>
    </row>
    <row r="435" spans="1:15" x14ac:dyDescent="0.25">
      <c r="A435" s="57">
        <v>7411</v>
      </c>
      <c r="B435" t="s">
        <v>73</v>
      </c>
      <c r="C435" t="s">
        <v>512</v>
      </c>
      <c r="D435" s="8">
        <v>66884</v>
      </c>
      <c r="E435" s="8">
        <v>64157</v>
      </c>
      <c r="F435" s="8">
        <v>5597</v>
      </c>
      <c r="G435" s="8">
        <v>5490</v>
      </c>
      <c r="H435" s="8">
        <v>5169</v>
      </c>
      <c r="I435" s="8">
        <v>4652</v>
      </c>
      <c r="J435" s="8">
        <v>5611</v>
      </c>
      <c r="K435" s="8">
        <v>5391</v>
      </c>
      <c r="L435" s="8">
        <v>5033</v>
      </c>
      <c r="M435" s="8">
        <v>4733</v>
      </c>
      <c r="N435" s="7">
        <f t="shared" si="12"/>
        <v>104.25051046651184</v>
      </c>
      <c r="O435" s="7">
        <f t="shared" si="13"/>
        <v>100.67411402157165</v>
      </c>
    </row>
    <row r="436" spans="1:15" x14ac:dyDescent="0.25">
      <c r="A436" s="57">
        <v>7412</v>
      </c>
      <c r="B436" t="s">
        <v>73</v>
      </c>
      <c r="C436" t="s">
        <v>513</v>
      </c>
      <c r="D436" s="8">
        <v>20823</v>
      </c>
      <c r="E436" s="8">
        <v>20198</v>
      </c>
      <c r="F436" s="8">
        <v>1846</v>
      </c>
      <c r="G436" s="8">
        <v>1814</v>
      </c>
      <c r="H436" s="8">
        <v>1913</v>
      </c>
      <c r="I436" s="8">
        <v>1695</v>
      </c>
      <c r="J436" s="8">
        <v>1748</v>
      </c>
      <c r="K436" s="8">
        <v>1666</v>
      </c>
      <c r="L436" s="8">
        <v>1696</v>
      </c>
      <c r="M436" s="8">
        <v>1611</v>
      </c>
      <c r="N436" s="7">
        <f t="shared" si="12"/>
        <v>103.09436577878999</v>
      </c>
      <c r="O436" s="7">
        <f t="shared" si="13"/>
        <v>108.13866984079749</v>
      </c>
    </row>
    <row r="437" spans="1:15" x14ac:dyDescent="0.25">
      <c r="A437" s="57">
        <v>7413</v>
      </c>
      <c r="B437" t="s">
        <v>73</v>
      </c>
      <c r="C437" t="s">
        <v>514</v>
      </c>
      <c r="D437" s="8">
        <v>46899</v>
      </c>
      <c r="E437" s="8">
        <v>47406</v>
      </c>
      <c r="F437" s="8">
        <v>4120</v>
      </c>
      <c r="G437" s="8">
        <v>4218</v>
      </c>
      <c r="H437" s="8">
        <v>3888</v>
      </c>
      <c r="I437" s="8">
        <v>3434</v>
      </c>
      <c r="J437" s="8">
        <v>3882</v>
      </c>
      <c r="K437" s="8">
        <v>3921</v>
      </c>
      <c r="L437" s="8">
        <v>3825</v>
      </c>
      <c r="M437" s="8">
        <v>3445</v>
      </c>
      <c r="N437" s="7">
        <f t="shared" si="12"/>
        <v>98.930515124667764</v>
      </c>
      <c r="O437" s="7">
        <f t="shared" si="13"/>
        <v>103.89438068068732</v>
      </c>
    </row>
    <row r="438" spans="1:15" x14ac:dyDescent="0.25">
      <c r="A438" s="57">
        <v>7414</v>
      </c>
      <c r="B438" t="s">
        <v>73</v>
      </c>
      <c r="C438" t="s">
        <v>515</v>
      </c>
      <c r="D438" s="8">
        <v>62741</v>
      </c>
      <c r="E438" s="8">
        <v>62185</v>
      </c>
      <c r="F438" s="8">
        <v>6028</v>
      </c>
      <c r="G438" s="8">
        <v>5692</v>
      </c>
      <c r="H438" s="8">
        <v>5160</v>
      </c>
      <c r="I438" s="8">
        <v>4554</v>
      </c>
      <c r="J438" s="8">
        <v>5697</v>
      </c>
      <c r="K438" s="8">
        <v>5559</v>
      </c>
      <c r="L438" s="8">
        <v>4742</v>
      </c>
      <c r="M438" s="8">
        <v>4108</v>
      </c>
      <c r="N438" s="7">
        <f t="shared" si="12"/>
        <v>100.89410629573048</v>
      </c>
      <c r="O438" s="7">
        <f t="shared" si="13"/>
        <v>106.60499353426837</v>
      </c>
    </row>
    <row r="439" spans="1:15" x14ac:dyDescent="0.25">
      <c r="A439" s="57">
        <v>7415</v>
      </c>
      <c r="B439" t="s">
        <v>73</v>
      </c>
      <c r="C439" t="s">
        <v>516</v>
      </c>
      <c r="D439" s="8">
        <v>52811</v>
      </c>
      <c r="E439" s="8">
        <v>51584</v>
      </c>
      <c r="F439" s="8">
        <v>5293</v>
      </c>
      <c r="G439" s="8">
        <v>4934</v>
      </c>
      <c r="H439" s="8">
        <v>4454</v>
      </c>
      <c r="I439" s="8">
        <v>4087</v>
      </c>
      <c r="J439" s="8">
        <v>4829</v>
      </c>
      <c r="K439" s="8">
        <v>4829</v>
      </c>
      <c r="L439" s="8">
        <v>4041</v>
      </c>
      <c r="M439" s="8">
        <v>3497</v>
      </c>
      <c r="N439" s="7">
        <f t="shared" si="12"/>
        <v>102.37864454094291</v>
      </c>
      <c r="O439" s="7">
        <f t="shared" si="13"/>
        <v>109.14166085136078</v>
      </c>
    </row>
    <row r="440" spans="1:15" x14ac:dyDescent="0.25">
      <c r="A440" s="57">
        <v>7471</v>
      </c>
      <c r="B440" t="s">
        <v>73</v>
      </c>
      <c r="C440" t="s">
        <v>517</v>
      </c>
      <c r="D440" s="8">
        <v>193308</v>
      </c>
      <c r="E440" s="8">
        <v>190400</v>
      </c>
      <c r="F440" s="8">
        <v>15040</v>
      </c>
      <c r="G440" s="8">
        <v>16244</v>
      </c>
      <c r="H440" s="8">
        <v>17229</v>
      </c>
      <c r="I440" s="8">
        <v>16433</v>
      </c>
      <c r="J440" s="8">
        <v>14147</v>
      </c>
      <c r="K440" s="8">
        <v>16338</v>
      </c>
      <c r="L440" s="8">
        <v>17458</v>
      </c>
      <c r="M440" s="8">
        <v>16091</v>
      </c>
      <c r="N440" s="7">
        <f t="shared" si="12"/>
        <v>101.52731092436976</v>
      </c>
      <c r="O440" s="7">
        <f t="shared" si="13"/>
        <v>101.42424337070932</v>
      </c>
    </row>
    <row r="441" spans="1:15" x14ac:dyDescent="0.25">
      <c r="A441" s="57">
        <v>7472</v>
      </c>
      <c r="B441" t="s">
        <v>73</v>
      </c>
      <c r="C441" t="s">
        <v>518</v>
      </c>
      <c r="D441" s="8">
        <v>86544</v>
      </c>
      <c r="E441" s="8">
        <v>86638</v>
      </c>
      <c r="F441" s="8">
        <v>7518</v>
      </c>
      <c r="G441" s="8">
        <v>6903</v>
      </c>
      <c r="H441" s="8">
        <v>6728</v>
      </c>
      <c r="I441" s="8">
        <v>6916</v>
      </c>
      <c r="J441" s="8">
        <v>7121</v>
      </c>
      <c r="K441" s="8">
        <v>6704</v>
      </c>
      <c r="L441" s="8">
        <v>6965</v>
      </c>
      <c r="M441" s="8">
        <v>6949</v>
      </c>
      <c r="N441" s="7">
        <f t="shared" si="12"/>
        <v>99.891502573928307</v>
      </c>
      <c r="O441" s="7">
        <f t="shared" si="13"/>
        <v>101.17524063592775</v>
      </c>
    </row>
    <row r="442" spans="1:15" x14ac:dyDescent="0.25">
      <c r="A442" s="57">
        <v>7501</v>
      </c>
      <c r="B442" t="s">
        <v>74</v>
      </c>
      <c r="C442" t="s">
        <v>519</v>
      </c>
      <c r="D442" s="8">
        <v>79863</v>
      </c>
      <c r="E442" s="8">
        <v>77209</v>
      </c>
      <c r="F442" s="8">
        <v>7221</v>
      </c>
      <c r="G442" s="8">
        <v>6753</v>
      </c>
      <c r="H442" s="8">
        <v>6546</v>
      </c>
      <c r="I442" s="8">
        <v>6032</v>
      </c>
      <c r="J442" s="8">
        <v>6716</v>
      </c>
      <c r="K442" s="8">
        <v>6350</v>
      </c>
      <c r="L442" s="8">
        <v>6317</v>
      </c>
      <c r="M442" s="8">
        <v>5797</v>
      </c>
      <c r="N442" s="7">
        <f t="shared" si="12"/>
        <v>103.43742309834344</v>
      </c>
      <c r="O442" s="7">
        <f t="shared" si="13"/>
        <v>105.44876886417791</v>
      </c>
    </row>
    <row r="443" spans="1:15" x14ac:dyDescent="0.25">
      <c r="A443" s="57">
        <v>7502</v>
      </c>
      <c r="B443" t="s">
        <v>74</v>
      </c>
      <c r="C443" t="s">
        <v>74</v>
      </c>
      <c r="D443" s="8">
        <v>209990</v>
      </c>
      <c r="E443" s="8">
        <v>207671</v>
      </c>
      <c r="F443" s="8">
        <v>17843</v>
      </c>
      <c r="G443" s="8">
        <v>18088</v>
      </c>
      <c r="H443" s="8">
        <v>17377</v>
      </c>
      <c r="I443" s="8">
        <v>15793</v>
      </c>
      <c r="J443" s="8">
        <v>17130</v>
      </c>
      <c r="K443" s="8">
        <v>17587</v>
      </c>
      <c r="L443" s="8">
        <v>16619</v>
      </c>
      <c r="M443" s="8">
        <v>14899</v>
      </c>
      <c r="N443" s="7">
        <f t="shared" si="12"/>
        <v>101.11667011763798</v>
      </c>
      <c r="O443" s="7">
        <f t="shared" si="13"/>
        <v>104.32701743791046</v>
      </c>
    </row>
    <row r="444" spans="1:15" x14ac:dyDescent="0.25">
      <c r="A444" s="57">
        <v>7503</v>
      </c>
      <c r="B444" t="s">
        <v>74</v>
      </c>
      <c r="C444" t="s">
        <v>520</v>
      </c>
      <c r="D444" s="8">
        <v>79854</v>
      </c>
      <c r="E444" s="8">
        <v>77673</v>
      </c>
      <c r="F444" s="8">
        <v>6760</v>
      </c>
      <c r="G444" s="8">
        <v>6524</v>
      </c>
      <c r="H444" s="8">
        <v>6584</v>
      </c>
      <c r="I444" s="8">
        <v>6005</v>
      </c>
      <c r="J444" s="8">
        <v>6437</v>
      </c>
      <c r="K444" s="8">
        <v>6480</v>
      </c>
      <c r="L444" s="8">
        <v>6347</v>
      </c>
      <c r="M444" s="8">
        <v>6020</v>
      </c>
      <c r="N444" s="7">
        <f t="shared" si="12"/>
        <v>102.80792553396934</v>
      </c>
      <c r="O444" s="7">
        <f t="shared" si="13"/>
        <v>102.3295364657491</v>
      </c>
    </row>
    <row r="445" spans="1:15" x14ac:dyDescent="0.25">
      <c r="A445" s="57">
        <v>7504</v>
      </c>
      <c r="B445" t="s">
        <v>74</v>
      </c>
      <c r="C445" t="s">
        <v>521</v>
      </c>
      <c r="D445" s="8">
        <v>87752</v>
      </c>
      <c r="E445" s="8">
        <v>87041</v>
      </c>
      <c r="F445" s="8">
        <v>7394</v>
      </c>
      <c r="G445" s="8">
        <v>7369</v>
      </c>
      <c r="H445" s="8">
        <v>7066</v>
      </c>
      <c r="I445" s="8">
        <v>6769</v>
      </c>
      <c r="J445" s="8">
        <v>7267</v>
      </c>
      <c r="K445" s="8">
        <v>7212</v>
      </c>
      <c r="L445" s="8">
        <v>6974</v>
      </c>
      <c r="M445" s="8">
        <v>6380</v>
      </c>
      <c r="N445" s="7">
        <f t="shared" si="12"/>
        <v>100.81685642398411</v>
      </c>
      <c r="O445" s="7">
        <f t="shared" si="13"/>
        <v>102.7485359106097</v>
      </c>
    </row>
    <row r="446" spans="1:15" x14ac:dyDescent="0.25">
      <c r="A446" s="57">
        <v>7505</v>
      </c>
      <c r="B446" t="s">
        <v>74</v>
      </c>
      <c r="C446" t="s">
        <v>522</v>
      </c>
      <c r="D446" s="8">
        <v>69611</v>
      </c>
      <c r="E446" s="8">
        <v>67270</v>
      </c>
      <c r="F446" s="8">
        <v>6181</v>
      </c>
      <c r="G446" s="8">
        <v>6354</v>
      </c>
      <c r="H446" s="8">
        <v>5975</v>
      </c>
      <c r="I446" s="8">
        <v>5225</v>
      </c>
      <c r="J446" s="8">
        <v>5946</v>
      </c>
      <c r="K446" s="8">
        <v>5926</v>
      </c>
      <c r="L446" s="8">
        <v>5718</v>
      </c>
      <c r="M446" s="8">
        <v>5115</v>
      </c>
      <c r="N446" s="7">
        <f t="shared" si="12"/>
        <v>103.48000594618701</v>
      </c>
      <c r="O446" s="7">
        <f t="shared" si="13"/>
        <v>104.53644571680248</v>
      </c>
    </row>
    <row r="447" spans="1:15" x14ac:dyDescent="0.25">
      <c r="A447" s="57">
        <v>7571</v>
      </c>
      <c r="B447" t="s">
        <v>74</v>
      </c>
      <c r="C447" t="s">
        <v>523</v>
      </c>
      <c r="D447" s="8">
        <v>105956</v>
      </c>
      <c r="E447" s="8">
        <v>106558</v>
      </c>
      <c r="F447" s="8">
        <v>8866</v>
      </c>
      <c r="G447" s="8">
        <v>8957</v>
      </c>
      <c r="H447" s="8">
        <v>8571</v>
      </c>
      <c r="I447" s="8">
        <v>8433</v>
      </c>
      <c r="J447" s="8">
        <v>8537</v>
      </c>
      <c r="K447" s="8">
        <v>8462</v>
      </c>
      <c r="L447" s="8">
        <v>8189</v>
      </c>
      <c r="M447" s="8">
        <v>8428</v>
      </c>
      <c r="N447" s="7">
        <f t="shared" si="12"/>
        <v>99.435049456633948</v>
      </c>
      <c r="O447" s="7">
        <f t="shared" si="13"/>
        <v>103.60245121370777</v>
      </c>
    </row>
    <row r="448" spans="1:15" x14ac:dyDescent="0.25">
      <c r="A448" s="57">
        <v>7601</v>
      </c>
      <c r="B448" t="s">
        <v>75</v>
      </c>
      <c r="C448" t="s">
        <v>524</v>
      </c>
      <c r="D448" s="8">
        <v>94517</v>
      </c>
      <c r="E448" s="8">
        <v>94340</v>
      </c>
      <c r="F448" s="8">
        <v>8401</v>
      </c>
      <c r="G448" s="8">
        <v>7825</v>
      </c>
      <c r="H448" s="8">
        <v>7811</v>
      </c>
      <c r="I448" s="8">
        <v>7031</v>
      </c>
      <c r="J448" s="8">
        <v>7832</v>
      </c>
      <c r="K448" s="8">
        <v>7760</v>
      </c>
      <c r="L448" s="8">
        <v>7229</v>
      </c>
      <c r="M448" s="8">
        <v>6808</v>
      </c>
      <c r="N448" s="7">
        <f t="shared" si="12"/>
        <v>100.187619249523</v>
      </c>
      <c r="O448" s="7">
        <f t="shared" si="13"/>
        <v>104.85672820547435</v>
      </c>
    </row>
    <row r="449" spans="1:15" x14ac:dyDescent="0.25">
      <c r="A449" s="57">
        <v>7602</v>
      </c>
      <c r="B449" t="s">
        <v>75</v>
      </c>
      <c r="C449" t="s">
        <v>525</v>
      </c>
      <c r="D449" s="8">
        <v>255614</v>
      </c>
      <c r="E449" s="8">
        <v>257452</v>
      </c>
      <c r="F449" s="8">
        <v>21907</v>
      </c>
      <c r="G449" s="8">
        <v>20274</v>
      </c>
      <c r="H449" s="8">
        <v>20968</v>
      </c>
      <c r="I449" s="8">
        <v>19293</v>
      </c>
      <c r="J449" s="8">
        <v>20716</v>
      </c>
      <c r="K449" s="8">
        <v>19602</v>
      </c>
      <c r="L449" s="8">
        <v>19901</v>
      </c>
      <c r="M449" s="8">
        <v>18534</v>
      </c>
      <c r="N449" s="7">
        <f t="shared" si="12"/>
        <v>99.286080512095452</v>
      </c>
      <c r="O449" s="7">
        <f t="shared" si="13"/>
        <v>104.68426599621601</v>
      </c>
    </row>
    <row r="450" spans="1:15" x14ac:dyDescent="0.25">
      <c r="A450" s="57">
        <v>7603</v>
      </c>
      <c r="B450" t="s">
        <v>75</v>
      </c>
      <c r="C450" t="s">
        <v>526</v>
      </c>
      <c r="D450" s="8">
        <v>91905</v>
      </c>
      <c r="E450" s="8">
        <v>86193</v>
      </c>
      <c r="F450" s="8">
        <v>8648</v>
      </c>
      <c r="G450" s="8">
        <v>9843</v>
      </c>
      <c r="H450" s="8">
        <v>7959</v>
      </c>
      <c r="I450" s="8">
        <v>6078</v>
      </c>
      <c r="J450" s="8">
        <v>7890</v>
      </c>
      <c r="K450" s="8">
        <v>8593</v>
      </c>
      <c r="L450" s="8">
        <v>6496</v>
      </c>
      <c r="M450" s="8">
        <v>5160</v>
      </c>
      <c r="N450" s="7">
        <f t="shared" si="12"/>
        <v>106.6269882705092</v>
      </c>
      <c r="O450" s="7">
        <f t="shared" si="13"/>
        <v>115.59756920999324</v>
      </c>
    </row>
    <row r="451" spans="1:15" x14ac:dyDescent="0.25">
      <c r="A451" s="57">
        <v>7604</v>
      </c>
      <c r="B451" t="s">
        <v>75</v>
      </c>
      <c r="C451" t="s">
        <v>527</v>
      </c>
      <c r="D451" s="8">
        <v>156343</v>
      </c>
      <c r="E451" s="8">
        <v>150254</v>
      </c>
      <c r="F451" s="8">
        <v>13622</v>
      </c>
      <c r="G451" s="8">
        <v>13218</v>
      </c>
      <c r="H451" s="8">
        <v>12267</v>
      </c>
      <c r="I451" s="8">
        <v>11877</v>
      </c>
      <c r="J451" s="8">
        <v>13049</v>
      </c>
      <c r="K451" s="8">
        <v>12482</v>
      </c>
      <c r="L451" s="8">
        <v>12246</v>
      </c>
      <c r="M451" s="8">
        <v>11653</v>
      </c>
      <c r="N451" s="7">
        <f t="shared" si="12"/>
        <v>104.05247114885461</v>
      </c>
      <c r="O451" s="7">
        <f t="shared" si="13"/>
        <v>103.14383977341694</v>
      </c>
    </row>
    <row r="452" spans="1:15" x14ac:dyDescent="0.25">
      <c r="A452" s="57">
        <v>7605</v>
      </c>
      <c r="B452" t="s">
        <v>75</v>
      </c>
      <c r="C452" t="s">
        <v>606</v>
      </c>
      <c r="D452" s="8">
        <v>108009</v>
      </c>
      <c r="E452" s="8">
        <v>102269</v>
      </c>
      <c r="F452" s="8">
        <v>9383</v>
      </c>
      <c r="G452" s="8">
        <v>8966</v>
      </c>
      <c r="H452" s="8">
        <v>9066</v>
      </c>
      <c r="I452" s="8">
        <v>8544</v>
      </c>
      <c r="J452" s="8">
        <v>8675</v>
      </c>
      <c r="K452" s="8">
        <v>8620</v>
      </c>
      <c r="L452" s="8">
        <v>9018</v>
      </c>
      <c r="M452" s="8">
        <v>8409</v>
      </c>
      <c r="N452" s="7">
        <f t="shared" ref="N452:N515" si="14">D452/E452*100</f>
        <v>105.6126489943189</v>
      </c>
      <c r="O452" s="7">
        <f t="shared" ref="O452:O515" si="15">SUM(F452:I452)/SUM(J452:M452)*100</f>
        <v>103.56258280052992</v>
      </c>
    </row>
    <row r="453" spans="1:15" x14ac:dyDescent="0.25">
      <c r="A453" s="57">
        <v>7606</v>
      </c>
      <c r="B453" t="s">
        <v>75</v>
      </c>
      <c r="C453" t="s">
        <v>528</v>
      </c>
      <c r="D453" s="8">
        <v>77155</v>
      </c>
      <c r="E453" s="8">
        <v>73303</v>
      </c>
      <c r="F453" s="8">
        <v>7276</v>
      </c>
      <c r="G453" s="8">
        <v>7462</v>
      </c>
      <c r="H453" s="8">
        <v>6129</v>
      </c>
      <c r="I453" s="8">
        <v>5270</v>
      </c>
      <c r="J453" s="8">
        <v>6664</v>
      </c>
      <c r="K453" s="8">
        <v>7137</v>
      </c>
      <c r="L453" s="8">
        <v>6353</v>
      </c>
      <c r="M453" s="8">
        <v>5312</v>
      </c>
      <c r="N453" s="7">
        <f t="shared" si="14"/>
        <v>105.25490089082304</v>
      </c>
      <c r="O453" s="7">
        <f t="shared" si="15"/>
        <v>102.63488572999293</v>
      </c>
    </row>
    <row r="454" spans="1:15" x14ac:dyDescent="0.25">
      <c r="A454" s="57">
        <v>8101</v>
      </c>
      <c r="B454" t="s">
        <v>76</v>
      </c>
      <c r="C454" t="s">
        <v>607</v>
      </c>
      <c r="D454" s="8">
        <v>67848</v>
      </c>
      <c r="E454" s="8">
        <v>66319</v>
      </c>
      <c r="F454" s="8">
        <v>6633</v>
      </c>
      <c r="G454" s="8">
        <v>5762</v>
      </c>
      <c r="H454" s="8">
        <v>5263</v>
      </c>
      <c r="I454" s="8">
        <v>4618</v>
      </c>
      <c r="J454" s="8">
        <v>6270</v>
      </c>
      <c r="K454" s="8">
        <v>5497</v>
      </c>
      <c r="L454" s="8">
        <v>5163</v>
      </c>
      <c r="M454" s="8">
        <v>4652</v>
      </c>
      <c r="N454" s="7">
        <f t="shared" si="14"/>
        <v>102.30552330403052</v>
      </c>
      <c r="O454" s="7">
        <f t="shared" si="15"/>
        <v>103.21564266518395</v>
      </c>
    </row>
    <row r="455" spans="1:15" x14ac:dyDescent="0.25">
      <c r="A455" s="57">
        <v>8102</v>
      </c>
      <c r="B455" t="s">
        <v>76</v>
      </c>
      <c r="C455" t="s">
        <v>529</v>
      </c>
      <c r="D455" s="8">
        <v>64189</v>
      </c>
      <c r="E455" s="8">
        <v>64585</v>
      </c>
      <c r="F455" s="8">
        <v>6234</v>
      </c>
      <c r="G455" s="8">
        <v>5751</v>
      </c>
      <c r="H455" s="8">
        <v>5679</v>
      </c>
      <c r="I455" s="8">
        <v>5166</v>
      </c>
      <c r="J455" s="8">
        <v>5913</v>
      </c>
      <c r="K455" s="8">
        <v>5611</v>
      </c>
      <c r="L455" s="8">
        <v>5556</v>
      </c>
      <c r="M455" s="8">
        <v>5032</v>
      </c>
      <c r="N455" s="7">
        <f t="shared" si="14"/>
        <v>99.386854532786245</v>
      </c>
      <c r="O455" s="7">
        <f t="shared" si="15"/>
        <v>103.24710564399422</v>
      </c>
    </row>
    <row r="456" spans="1:15" x14ac:dyDescent="0.25">
      <c r="A456" s="57">
        <v>8103</v>
      </c>
      <c r="B456" t="s">
        <v>76</v>
      </c>
      <c r="C456" t="s">
        <v>530</v>
      </c>
      <c r="D456" s="8">
        <v>227261</v>
      </c>
      <c r="E456" s="8">
        <v>223123</v>
      </c>
      <c r="F456" s="8">
        <v>22206</v>
      </c>
      <c r="G456" s="8">
        <v>21359</v>
      </c>
      <c r="H456" s="8">
        <v>18815</v>
      </c>
      <c r="I456" s="8">
        <v>17261</v>
      </c>
      <c r="J456" s="8">
        <v>20663</v>
      </c>
      <c r="K456" s="8">
        <v>20061</v>
      </c>
      <c r="L456" s="8">
        <v>18206</v>
      </c>
      <c r="M456" s="8">
        <v>16506</v>
      </c>
      <c r="N456" s="7">
        <f t="shared" si="14"/>
        <v>101.85458245003878</v>
      </c>
      <c r="O456" s="7">
        <f t="shared" si="15"/>
        <v>105.57426162574899</v>
      </c>
    </row>
    <row r="457" spans="1:15" x14ac:dyDescent="0.25">
      <c r="A457" s="57">
        <v>8104</v>
      </c>
      <c r="B457" t="s">
        <v>76</v>
      </c>
      <c r="C457" t="s">
        <v>531</v>
      </c>
      <c r="D457" s="8">
        <v>74390</v>
      </c>
      <c r="E457" s="8">
        <v>71519</v>
      </c>
      <c r="F457" s="8">
        <v>6607</v>
      </c>
      <c r="G457" s="8">
        <v>6872</v>
      </c>
      <c r="H457" s="8">
        <v>6067</v>
      </c>
      <c r="I457" s="8">
        <v>5367</v>
      </c>
      <c r="J457" s="8">
        <v>6009</v>
      </c>
      <c r="K457" s="8">
        <v>6391</v>
      </c>
      <c r="L457" s="8">
        <v>6134</v>
      </c>
      <c r="M457" s="8">
        <v>5611</v>
      </c>
      <c r="N457" s="7">
        <f t="shared" si="14"/>
        <v>104.01431787357205</v>
      </c>
      <c r="O457" s="7">
        <f t="shared" si="15"/>
        <v>103.18078277075999</v>
      </c>
    </row>
    <row r="458" spans="1:15" x14ac:dyDescent="0.25">
      <c r="A458" s="57">
        <v>8105</v>
      </c>
      <c r="B458" t="s">
        <v>76</v>
      </c>
      <c r="C458" t="s">
        <v>532</v>
      </c>
      <c r="D458" s="8">
        <v>57937</v>
      </c>
      <c r="E458" s="8">
        <v>54760</v>
      </c>
      <c r="F458" s="8">
        <v>5292</v>
      </c>
      <c r="G458" s="8">
        <v>4914</v>
      </c>
      <c r="H458" s="8">
        <v>4836</v>
      </c>
      <c r="I458" s="8">
        <v>4154</v>
      </c>
      <c r="J458" s="8">
        <v>4848</v>
      </c>
      <c r="K458" s="8">
        <v>4631</v>
      </c>
      <c r="L458" s="8">
        <v>4461</v>
      </c>
      <c r="M458" s="8">
        <v>4095</v>
      </c>
      <c r="N458" s="7">
        <f t="shared" si="14"/>
        <v>105.80168005843682</v>
      </c>
      <c r="O458" s="7">
        <f t="shared" si="15"/>
        <v>106.43748267258108</v>
      </c>
    </row>
    <row r="459" spans="1:15" x14ac:dyDescent="0.25">
      <c r="A459" s="57">
        <v>8106</v>
      </c>
      <c r="B459" t="s">
        <v>76</v>
      </c>
      <c r="C459" t="s">
        <v>533</v>
      </c>
      <c r="D459" s="8">
        <v>118722</v>
      </c>
      <c r="E459" s="8">
        <v>114465</v>
      </c>
      <c r="F459" s="8">
        <v>11718</v>
      </c>
      <c r="G459" s="8">
        <v>11033</v>
      </c>
      <c r="H459" s="8">
        <v>9688</v>
      </c>
      <c r="I459" s="8">
        <v>8212</v>
      </c>
      <c r="J459" s="8">
        <v>10848</v>
      </c>
      <c r="K459" s="8">
        <v>10392</v>
      </c>
      <c r="L459" s="8">
        <v>9082</v>
      </c>
      <c r="M459" s="8">
        <v>7927</v>
      </c>
      <c r="N459" s="7">
        <f t="shared" si="14"/>
        <v>103.71904075481588</v>
      </c>
      <c r="O459" s="7">
        <f t="shared" si="15"/>
        <v>106.27990274255536</v>
      </c>
    </row>
    <row r="460" spans="1:15" x14ac:dyDescent="0.25">
      <c r="A460" s="57">
        <v>8107</v>
      </c>
      <c r="B460" t="s">
        <v>76</v>
      </c>
      <c r="C460" t="s">
        <v>534</v>
      </c>
      <c r="D460" s="8">
        <v>77005</v>
      </c>
      <c r="E460" s="8">
        <v>74783</v>
      </c>
      <c r="F460" s="8">
        <v>7704</v>
      </c>
      <c r="G460" s="8">
        <v>7312</v>
      </c>
      <c r="H460" s="8">
        <v>6316</v>
      </c>
      <c r="I460" s="8">
        <v>5633</v>
      </c>
      <c r="J460" s="8">
        <v>7013</v>
      </c>
      <c r="K460" s="8">
        <v>7058</v>
      </c>
      <c r="L460" s="8">
        <v>6000</v>
      </c>
      <c r="M460" s="8">
        <v>5600</v>
      </c>
      <c r="N460" s="7">
        <f t="shared" si="14"/>
        <v>102.97126352245832</v>
      </c>
      <c r="O460" s="7">
        <f t="shared" si="15"/>
        <v>105.04070741303417</v>
      </c>
    </row>
    <row r="461" spans="1:15" x14ac:dyDescent="0.25">
      <c r="A461" s="57">
        <v>8108</v>
      </c>
      <c r="B461" t="s">
        <v>76</v>
      </c>
      <c r="C461" t="s">
        <v>535</v>
      </c>
      <c r="D461" s="8">
        <v>46007</v>
      </c>
      <c r="E461" s="8">
        <v>43919</v>
      </c>
      <c r="F461" s="8">
        <v>3722</v>
      </c>
      <c r="G461" s="8">
        <v>3589</v>
      </c>
      <c r="H461" s="8">
        <v>3602</v>
      </c>
      <c r="I461" s="8">
        <v>3384</v>
      </c>
      <c r="J461" s="8">
        <v>3275</v>
      </c>
      <c r="K461" s="8">
        <v>3237</v>
      </c>
      <c r="L461" s="8">
        <v>3474</v>
      </c>
      <c r="M461" s="8">
        <v>3225</v>
      </c>
      <c r="N461" s="7">
        <f t="shared" si="14"/>
        <v>104.75420660761856</v>
      </c>
      <c r="O461" s="7">
        <f t="shared" si="15"/>
        <v>108.22042237529332</v>
      </c>
    </row>
    <row r="462" spans="1:15" x14ac:dyDescent="0.25">
      <c r="A462" s="57">
        <v>8109</v>
      </c>
      <c r="B462" t="s">
        <v>76</v>
      </c>
      <c r="C462" t="s">
        <v>536</v>
      </c>
      <c r="D462" s="8">
        <v>42801</v>
      </c>
      <c r="E462" s="8">
        <v>40786</v>
      </c>
      <c r="F462" s="8">
        <v>4042</v>
      </c>
      <c r="G462" s="8">
        <v>3920</v>
      </c>
      <c r="H462" s="8">
        <v>3626</v>
      </c>
      <c r="I462" s="8">
        <v>3267</v>
      </c>
      <c r="J462" s="8">
        <v>3612</v>
      </c>
      <c r="K462" s="8">
        <v>3546</v>
      </c>
      <c r="L462" s="8">
        <v>3469</v>
      </c>
      <c r="M462" s="8">
        <v>3274</v>
      </c>
      <c r="N462" s="7">
        <f t="shared" si="14"/>
        <v>104.94042073260432</v>
      </c>
      <c r="O462" s="7">
        <f t="shared" si="15"/>
        <v>106.86281562477519</v>
      </c>
    </row>
    <row r="463" spans="1:15" x14ac:dyDescent="0.25">
      <c r="A463" s="57">
        <v>8171</v>
      </c>
      <c r="B463" t="s">
        <v>76</v>
      </c>
      <c r="C463" t="s">
        <v>537</v>
      </c>
      <c r="D463" s="8">
        <v>184688</v>
      </c>
      <c r="E463" s="8">
        <v>185109</v>
      </c>
      <c r="F463" s="8">
        <v>14073</v>
      </c>
      <c r="G463" s="8">
        <v>16235</v>
      </c>
      <c r="H463" s="8">
        <v>17684</v>
      </c>
      <c r="I463" s="8">
        <v>15601</v>
      </c>
      <c r="J463" s="8">
        <v>13633</v>
      </c>
      <c r="K463" s="8">
        <v>15546</v>
      </c>
      <c r="L463" s="8">
        <v>16425</v>
      </c>
      <c r="M463" s="8">
        <v>15038</v>
      </c>
      <c r="N463" s="7">
        <f t="shared" si="14"/>
        <v>99.772566433830875</v>
      </c>
      <c r="O463" s="7">
        <f t="shared" si="15"/>
        <v>104.86626430526698</v>
      </c>
    </row>
    <row r="464" spans="1:15" x14ac:dyDescent="0.25">
      <c r="A464" s="57">
        <v>8172</v>
      </c>
      <c r="B464" t="s">
        <v>76</v>
      </c>
      <c r="C464" t="s">
        <v>538</v>
      </c>
      <c r="D464" s="8">
        <v>47395</v>
      </c>
      <c r="E464" s="8">
        <v>47597</v>
      </c>
      <c r="F464" s="8">
        <v>4369</v>
      </c>
      <c r="G464" s="8">
        <v>4026</v>
      </c>
      <c r="H464" s="8">
        <v>4264</v>
      </c>
      <c r="I464" s="8">
        <v>4204</v>
      </c>
      <c r="J464" s="8">
        <v>4072</v>
      </c>
      <c r="K464" s="8">
        <v>3884</v>
      </c>
      <c r="L464" s="8">
        <v>4306</v>
      </c>
      <c r="M464" s="8">
        <v>4285</v>
      </c>
      <c r="N464" s="7">
        <f t="shared" si="14"/>
        <v>99.575603504422546</v>
      </c>
      <c r="O464" s="7">
        <f t="shared" si="15"/>
        <v>101.90971173022301</v>
      </c>
    </row>
    <row r="465" spans="1:15" x14ac:dyDescent="0.25">
      <c r="A465" s="57">
        <v>8201</v>
      </c>
      <c r="B465" t="s">
        <v>77</v>
      </c>
      <c r="C465" t="s">
        <v>539</v>
      </c>
      <c r="D465" s="8">
        <v>71869</v>
      </c>
      <c r="E465" s="8">
        <v>68547</v>
      </c>
      <c r="F465" s="8">
        <v>5898</v>
      </c>
      <c r="G465" s="8">
        <v>5751</v>
      </c>
      <c r="H465" s="8">
        <v>5963</v>
      </c>
      <c r="I465" s="8">
        <v>6160</v>
      </c>
      <c r="J465" s="8">
        <v>5881</v>
      </c>
      <c r="K465" s="8">
        <v>5188</v>
      </c>
      <c r="L465" s="8">
        <v>5062</v>
      </c>
      <c r="M465" s="8">
        <v>5791</v>
      </c>
      <c r="N465" s="7">
        <f t="shared" si="14"/>
        <v>104.8463098312107</v>
      </c>
      <c r="O465" s="7">
        <f t="shared" si="15"/>
        <v>108.43901103913876</v>
      </c>
    </row>
    <row r="466" spans="1:15" x14ac:dyDescent="0.25">
      <c r="A466" s="57">
        <v>8202</v>
      </c>
      <c r="B466" t="s">
        <v>77</v>
      </c>
      <c r="C466" t="s">
        <v>540</v>
      </c>
      <c r="D466" s="8">
        <v>33490</v>
      </c>
      <c r="E466" s="8">
        <v>30939</v>
      </c>
      <c r="F466" s="8">
        <v>2472</v>
      </c>
      <c r="G466" s="8">
        <v>2460</v>
      </c>
      <c r="H466" s="8">
        <v>3011</v>
      </c>
      <c r="I466" s="8">
        <v>3115</v>
      </c>
      <c r="J466" s="8">
        <v>2474</v>
      </c>
      <c r="K466" s="8">
        <v>2205</v>
      </c>
      <c r="L466" s="8">
        <v>2268</v>
      </c>
      <c r="M466" s="8">
        <v>2423</v>
      </c>
      <c r="N466" s="7">
        <f t="shared" si="14"/>
        <v>108.24525679563011</v>
      </c>
      <c r="O466" s="7">
        <f t="shared" si="15"/>
        <v>118.01494130202774</v>
      </c>
    </row>
    <row r="467" spans="1:15" x14ac:dyDescent="0.25">
      <c r="A467" s="57">
        <v>8203</v>
      </c>
      <c r="B467" t="s">
        <v>77</v>
      </c>
      <c r="C467" t="s">
        <v>541</v>
      </c>
      <c r="D467" s="8">
        <v>56973</v>
      </c>
      <c r="E467" s="8">
        <v>54822</v>
      </c>
      <c r="F467" s="8">
        <v>5101</v>
      </c>
      <c r="G467" s="8">
        <v>4573</v>
      </c>
      <c r="H467" s="8">
        <v>4698</v>
      </c>
      <c r="I467" s="8">
        <v>5097</v>
      </c>
      <c r="J467" s="8">
        <v>4855</v>
      </c>
      <c r="K467" s="8">
        <v>4141</v>
      </c>
      <c r="L467" s="8">
        <v>3961</v>
      </c>
      <c r="M467" s="8">
        <v>4583</v>
      </c>
      <c r="N467" s="7">
        <f t="shared" si="14"/>
        <v>103.92360731093358</v>
      </c>
      <c r="O467" s="7">
        <f t="shared" si="15"/>
        <v>110.99771949828963</v>
      </c>
    </row>
    <row r="468" spans="1:15" x14ac:dyDescent="0.25">
      <c r="A468" s="57">
        <v>8204</v>
      </c>
      <c r="B468" t="s">
        <v>77</v>
      </c>
      <c r="C468" t="s">
        <v>542</v>
      </c>
      <c r="D468" s="8">
        <v>141187</v>
      </c>
      <c r="E468" s="8">
        <v>131833</v>
      </c>
      <c r="F468" s="8">
        <v>13234</v>
      </c>
      <c r="G468" s="8">
        <v>12410</v>
      </c>
      <c r="H468" s="8">
        <v>12151</v>
      </c>
      <c r="I468" s="8">
        <v>12117</v>
      </c>
      <c r="J468" s="8">
        <v>12984</v>
      </c>
      <c r="K468" s="8">
        <v>10463</v>
      </c>
      <c r="L468" s="8">
        <v>9645</v>
      </c>
      <c r="M468" s="8">
        <v>10775</v>
      </c>
      <c r="N468" s="7">
        <f t="shared" si="14"/>
        <v>107.09534031691609</v>
      </c>
      <c r="O468" s="7">
        <f t="shared" si="15"/>
        <v>113.78029042332504</v>
      </c>
    </row>
    <row r="469" spans="1:15" x14ac:dyDescent="0.25">
      <c r="A469" s="57">
        <v>8205</v>
      </c>
      <c r="B469" t="s">
        <v>77</v>
      </c>
      <c r="C469" t="s">
        <v>543</v>
      </c>
      <c r="D469" s="8">
        <v>108882</v>
      </c>
      <c r="E469" s="8">
        <v>103860</v>
      </c>
      <c r="F469" s="8">
        <v>9137</v>
      </c>
      <c r="G469" s="8">
        <v>8553</v>
      </c>
      <c r="H469" s="8">
        <v>8766</v>
      </c>
      <c r="I469" s="8">
        <v>8568</v>
      </c>
      <c r="J469" s="8">
        <v>8724</v>
      </c>
      <c r="K469" s="8">
        <v>7545</v>
      </c>
      <c r="L469" s="8">
        <v>7266</v>
      </c>
      <c r="M469" s="8">
        <v>7905</v>
      </c>
      <c r="N469" s="7">
        <f t="shared" si="14"/>
        <v>104.83535528596187</v>
      </c>
      <c r="O469" s="7">
        <f t="shared" si="15"/>
        <v>111.39949109414758</v>
      </c>
    </row>
    <row r="470" spans="1:15" x14ac:dyDescent="0.25">
      <c r="A470" s="57">
        <v>8206</v>
      </c>
      <c r="B470" t="s">
        <v>77</v>
      </c>
      <c r="C470" t="s">
        <v>544</v>
      </c>
      <c r="D470" s="8">
        <v>52562</v>
      </c>
      <c r="E470" s="8">
        <v>48889</v>
      </c>
      <c r="F470" s="8">
        <v>4132</v>
      </c>
      <c r="G470" s="8">
        <v>3776</v>
      </c>
      <c r="H470" s="8">
        <v>4151</v>
      </c>
      <c r="I470" s="8">
        <v>4539</v>
      </c>
      <c r="J470" s="8">
        <v>4163</v>
      </c>
      <c r="K470" s="8">
        <v>3395</v>
      </c>
      <c r="L470" s="8">
        <v>3646</v>
      </c>
      <c r="M470" s="8">
        <v>4200</v>
      </c>
      <c r="N470" s="7">
        <f t="shared" si="14"/>
        <v>107.51293747059665</v>
      </c>
      <c r="O470" s="7">
        <f t="shared" si="15"/>
        <v>107.75123344585822</v>
      </c>
    </row>
    <row r="471" spans="1:15" x14ac:dyDescent="0.25">
      <c r="A471" s="57">
        <v>8207</v>
      </c>
      <c r="B471" t="s">
        <v>77</v>
      </c>
      <c r="C471" t="s">
        <v>545</v>
      </c>
      <c r="D471" s="8">
        <v>42361</v>
      </c>
      <c r="E471" s="8">
        <v>39886</v>
      </c>
      <c r="F471" s="8">
        <v>3386</v>
      </c>
      <c r="G471" s="8">
        <v>2993</v>
      </c>
      <c r="H471" s="8">
        <v>3314</v>
      </c>
      <c r="I471" s="8">
        <v>3789</v>
      </c>
      <c r="J471" s="8">
        <v>3228</v>
      </c>
      <c r="K471" s="8">
        <v>2786</v>
      </c>
      <c r="L471" s="8">
        <v>2830</v>
      </c>
      <c r="M471" s="8">
        <v>3382</v>
      </c>
      <c r="N471" s="7">
        <f t="shared" si="14"/>
        <v>106.20518477661334</v>
      </c>
      <c r="O471" s="7">
        <f t="shared" si="15"/>
        <v>110.27318828725667</v>
      </c>
    </row>
    <row r="472" spans="1:15" x14ac:dyDescent="0.25">
      <c r="A472" s="57">
        <v>8208</v>
      </c>
      <c r="B472" t="s">
        <v>77</v>
      </c>
      <c r="C472" t="s">
        <v>546</v>
      </c>
      <c r="D472" s="8">
        <v>32347</v>
      </c>
      <c r="E472" s="8">
        <v>30738</v>
      </c>
      <c r="F472" s="8">
        <v>2772</v>
      </c>
      <c r="G472" s="8">
        <v>2554</v>
      </c>
      <c r="H472" s="8">
        <v>2518</v>
      </c>
      <c r="I472" s="8">
        <v>2744</v>
      </c>
      <c r="J472" s="8">
        <v>2773</v>
      </c>
      <c r="K472" s="8">
        <v>2266</v>
      </c>
      <c r="L472" s="8">
        <v>2312</v>
      </c>
      <c r="M472" s="8">
        <v>2609</v>
      </c>
      <c r="N472" s="7">
        <f t="shared" si="14"/>
        <v>105.23456308152774</v>
      </c>
      <c r="O472" s="7">
        <f t="shared" si="15"/>
        <v>106.30522088353413</v>
      </c>
    </row>
    <row r="473" spans="1:15" x14ac:dyDescent="0.25">
      <c r="A473" s="57">
        <v>8271</v>
      </c>
      <c r="B473" t="s">
        <v>77</v>
      </c>
      <c r="C473" t="s">
        <v>547</v>
      </c>
      <c r="D473" s="8">
        <v>110768</v>
      </c>
      <c r="E473" s="8">
        <v>108301</v>
      </c>
      <c r="F473" s="8">
        <v>8291</v>
      </c>
      <c r="G473" s="8">
        <v>8213</v>
      </c>
      <c r="H473" s="8">
        <v>8964</v>
      </c>
      <c r="I473" s="8">
        <v>10417</v>
      </c>
      <c r="J473" s="8">
        <v>8637</v>
      </c>
      <c r="K473" s="8">
        <v>7511</v>
      </c>
      <c r="L473" s="8">
        <v>8018</v>
      </c>
      <c r="M473" s="8">
        <v>9643</v>
      </c>
      <c r="N473" s="7">
        <f t="shared" si="14"/>
        <v>102.27791063794425</v>
      </c>
      <c r="O473" s="7">
        <f t="shared" si="15"/>
        <v>106.14037682273951</v>
      </c>
    </row>
    <row r="474" spans="1:15" x14ac:dyDescent="0.25">
      <c r="A474" s="57">
        <v>8272</v>
      </c>
      <c r="B474" t="s">
        <v>77</v>
      </c>
      <c r="C474" t="s">
        <v>548</v>
      </c>
      <c r="D474" s="8">
        <v>62795</v>
      </c>
      <c r="E474" s="8">
        <v>60659</v>
      </c>
      <c r="F474" s="8">
        <v>4968</v>
      </c>
      <c r="G474" s="8">
        <v>4843</v>
      </c>
      <c r="H474" s="8">
        <v>5142</v>
      </c>
      <c r="I474" s="8">
        <v>5585</v>
      </c>
      <c r="J474" s="8">
        <v>5162</v>
      </c>
      <c r="K474" s="8">
        <v>4324</v>
      </c>
      <c r="L474" s="8">
        <v>4353</v>
      </c>
      <c r="M474" s="8">
        <v>5245</v>
      </c>
      <c r="N474" s="7">
        <f t="shared" si="14"/>
        <v>103.52132412337822</v>
      </c>
      <c r="O474" s="7">
        <f t="shared" si="15"/>
        <v>107.6189478096835</v>
      </c>
    </row>
    <row r="475" spans="1:15" x14ac:dyDescent="0.25">
      <c r="A475" s="57">
        <v>9101</v>
      </c>
      <c r="B475" t="s">
        <v>78</v>
      </c>
      <c r="C475" t="s">
        <v>549</v>
      </c>
      <c r="D475" s="8">
        <v>47116</v>
      </c>
      <c r="E475" s="8">
        <v>45584</v>
      </c>
      <c r="F475" s="8">
        <v>4396</v>
      </c>
      <c r="G475" s="8">
        <v>3908</v>
      </c>
      <c r="H475" s="8">
        <v>3532</v>
      </c>
      <c r="I475" s="8">
        <v>3335</v>
      </c>
      <c r="J475" s="8">
        <v>4122</v>
      </c>
      <c r="K475" s="8">
        <v>3932</v>
      </c>
      <c r="L475" s="8">
        <v>3499</v>
      </c>
      <c r="M475" s="8">
        <v>3362</v>
      </c>
      <c r="N475" s="7">
        <f t="shared" si="14"/>
        <v>103.36082836082836</v>
      </c>
      <c r="O475" s="7">
        <f t="shared" si="15"/>
        <v>101.71639289306067</v>
      </c>
    </row>
    <row r="476" spans="1:15" x14ac:dyDescent="0.25">
      <c r="A476" s="57">
        <v>9102</v>
      </c>
      <c r="B476" t="s">
        <v>78</v>
      </c>
      <c r="C476" t="s">
        <v>550</v>
      </c>
      <c r="D476" s="8">
        <v>35732</v>
      </c>
      <c r="E476" s="8">
        <v>33191</v>
      </c>
      <c r="F476" s="8">
        <v>3680</v>
      </c>
      <c r="G476" s="8">
        <v>3334</v>
      </c>
      <c r="H476" s="8">
        <v>2742</v>
      </c>
      <c r="I476" s="8">
        <v>2649</v>
      </c>
      <c r="J476" s="8">
        <v>3287</v>
      </c>
      <c r="K476" s="8">
        <v>2912</v>
      </c>
      <c r="L476" s="8">
        <v>2586</v>
      </c>
      <c r="M476" s="8">
        <v>2462</v>
      </c>
      <c r="N476" s="7">
        <f t="shared" si="14"/>
        <v>107.65568979542648</v>
      </c>
      <c r="O476" s="7">
        <f t="shared" si="15"/>
        <v>110.29607895438784</v>
      </c>
    </row>
    <row r="477" spans="1:15" x14ac:dyDescent="0.25">
      <c r="A477" s="57">
        <v>9103</v>
      </c>
      <c r="B477" t="s">
        <v>78</v>
      </c>
      <c r="C477" t="s">
        <v>551</v>
      </c>
      <c r="D477" s="8">
        <v>24855</v>
      </c>
      <c r="E477" s="8">
        <v>22764</v>
      </c>
      <c r="F477" s="8">
        <v>2274</v>
      </c>
      <c r="G477" s="8">
        <v>2009</v>
      </c>
      <c r="H477" s="8">
        <v>1799</v>
      </c>
      <c r="I477" s="8">
        <v>1684</v>
      </c>
      <c r="J477" s="8">
        <v>2134</v>
      </c>
      <c r="K477" s="8">
        <v>1871</v>
      </c>
      <c r="L477" s="8">
        <v>1735</v>
      </c>
      <c r="M477" s="8">
        <v>1662</v>
      </c>
      <c r="N477" s="7">
        <f t="shared" si="14"/>
        <v>109.1855561412757</v>
      </c>
      <c r="O477" s="7">
        <f t="shared" si="15"/>
        <v>104.91758984058363</v>
      </c>
    </row>
    <row r="478" spans="1:15" x14ac:dyDescent="0.25">
      <c r="A478" s="57">
        <v>9104</v>
      </c>
      <c r="B478" t="s">
        <v>78</v>
      </c>
      <c r="C478" t="s">
        <v>552</v>
      </c>
      <c r="D478" s="8">
        <v>53171</v>
      </c>
      <c r="E478" s="8">
        <v>39752</v>
      </c>
      <c r="F478" s="8">
        <v>4198</v>
      </c>
      <c r="G478" s="8">
        <v>4569</v>
      </c>
      <c r="H478" s="8">
        <v>5215</v>
      </c>
      <c r="I478" s="8">
        <v>5183</v>
      </c>
      <c r="J478" s="8">
        <v>3642</v>
      </c>
      <c r="K478" s="8">
        <v>3666</v>
      </c>
      <c r="L478" s="8">
        <v>3565</v>
      </c>
      <c r="M478" s="8">
        <v>3312</v>
      </c>
      <c r="N478" s="7">
        <f t="shared" si="14"/>
        <v>133.75679211108874</v>
      </c>
      <c r="O478" s="7">
        <f t="shared" si="15"/>
        <v>135.10750793091293</v>
      </c>
    </row>
    <row r="479" spans="1:15" x14ac:dyDescent="0.25">
      <c r="A479" s="57">
        <v>9105</v>
      </c>
      <c r="B479" t="s">
        <v>78</v>
      </c>
      <c r="C479" t="s">
        <v>553</v>
      </c>
      <c r="D479" s="8">
        <v>109230</v>
      </c>
      <c r="E479" s="8">
        <v>101833</v>
      </c>
      <c r="F479" s="8">
        <v>8921</v>
      </c>
      <c r="G479" s="8">
        <v>9995</v>
      </c>
      <c r="H479" s="8">
        <v>9926</v>
      </c>
      <c r="I479" s="8">
        <v>9114</v>
      </c>
      <c r="J479" s="8">
        <v>8218</v>
      </c>
      <c r="K479" s="8">
        <v>9336</v>
      </c>
      <c r="L479" s="8">
        <v>9136</v>
      </c>
      <c r="M479" s="8">
        <v>8366</v>
      </c>
      <c r="N479" s="7">
        <f t="shared" si="14"/>
        <v>107.26385356416878</v>
      </c>
      <c r="O479" s="7">
        <f t="shared" si="15"/>
        <v>108.27247832040163</v>
      </c>
    </row>
    <row r="480" spans="1:15" x14ac:dyDescent="0.25">
      <c r="A480" s="57">
        <v>9111</v>
      </c>
      <c r="B480" t="s">
        <v>78</v>
      </c>
      <c r="C480" t="s">
        <v>554</v>
      </c>
      <c r="D480" s="8">
        <v>20688</v>
      </c>
      <c r="E480" s="8">
        <v>19631</v>
      </c>
      <c r="F480" s="8">
        <v>1882</v>
      </c>
      <c r="G480" s="8">
        <v>2284</v>
      </c>
      <c r="H480" s="8">
        <v>1896</v>
      </c>
      <c r="I480" s="8">
        <v>1753</v>
      </c>
      <c r="J480" s="8">
        <v>1735</v>
      </c>
      <c r="K480" s="8">
        <v>2017</v>
      </c>
      <c r="L480" s="8">
        <v>1874</v>
      </c>
      <c r="M480" s="8">
        <v>1578</v>
      </c>
      <c r="N480" s="7">
        <f t="shared" si="14"/>
        <v>105.38434109316897</v>
      </c>
      <c r="O480" s="7">
        <f t="shared" si="15"/>
        <v>108.48139922265408</v>
      </c>
    </row>
    <row r="481" spans="1:15" x14ac:dyDescent="0.25">
      <c r="A481" s="57">
        <v>9112</v>
      </c>
      <c r="B481" t="s">
        <v>78</v>
      </c>
      <c r="C481" t="s">
        <v>555</v>
      </c>
      <c r="D481" s="8">
        <v>21865</v>
      </c>
      <c r="E481" s="8">
        <v>21049</v>
      </c>
      <c r="F481" s="8">
        <v>1666</v>
      </c>
      <c r="G481" s="8">
        <v>2372</v>
      </c>
      <c r="H481" s="8">
        <v>2056</v>
      </c>
      <c r="I481" s="8">
        <v>2274</v>
      </c>
      <c r="J481" s="8">
        <v>1604</v>
      </c>
      <c r="K481" s="8">
        <v>2068</v>
      </c>
      <c r="L481" s="8">
        <v>2049</v>
      </c>
      <c r="M481" s="8">
        <v>2277</v>
      </c>
      <c r="N481" s="7">
        <f t="shared" si="14"/>
        <v>103.87666872535513</v>
      </c>
      <c r="O481" s="7">
        <f t="shared" si="15"/>
        <v>104.62615653913478</v>
      </c>
    </row>
    <row r="482" spans="1:15" x14ac:dyDescent="0.25">
      <c r="A482" s="57">
        <v>9201</v>
      </c>
      <c r="B482" t="s">
        <v>79</v>
      </c>
      <c r="C482" t="s">
        <v>556</v>
      </c>
      <c r="D482" s="8">
        <v>38231</v>
      </c>
      <c r="E482" s="8">
        <v>34906</v>
      </c>
      <c r="F482" s="8">
        <v>3562</v>
      </c>
      <c r="G482" s="8">
        <v>3031</v>
      </c>
      <c r="H482" s="8">
        <v>3007</v>
      </c>
      <c r="I482" s="8">
        <v>2868</v>
      </c>
      <c r="J482" s="8">
        <v>3109</v>
      </c>
      <c r="K482" s="8">
        <v>2686</v>
      </c>
      <c r="L482" s="8">
        <v>2900</v>
      </c>
      <c r="M482" s="8">
        <v>2736</v>
      </c>
      <c r="N482" s="7">
        <f t="shared" si="14"/>
        <v>109.52558299432762</v>
      </c>
      <c r="O482" s="7">
        <f t="shared" si="15"/>
        <v>109.07182223777447</v>
      </c>
    </row>
    <row r="483" spans="1:15" x14ac:dyDescent="0.25">
      <c r="A483" s="57">
        <v>9202</v>
      </c>
      <c r="B483" t="s">
        <v>79</v>
      </c>
      <c r="C483" t="s">
        <v>557</v>
      </c>
      <c r="D483" s="8">
        <v>65368</v>
      </c>
      <c r="E483" s="8">
        <v>59854</v>
      </c>
      <c r="F483" s="8">
        <v>5595</v>
      </c>
      <c r="G483" s="8">
        <v>5537</v>
      </c>
      <c r="H483" s="8">
        <v>5439</v>
      </c>
      <c r="I483" s="8">
        <v>5125</v>
      </c>
      <c r="J483" s="8">
        <v>5189</v>
      </c>
      <c r="K483" s="8">
        <v>4877</v>
      </c>
      <c r="L483" s="8">
        <v>4910</v>
      </c>
      <c r="M483" s="8">
        <v>4679</v>
      </c>
      <c r="N483" s="7">
        <f t="shared" si="14"/>
        <v>109.21241688107727</v>
      </c>
      <c r="O483" s="7">
        <f t="shared" si="15"/>
        <v>110.38412617654541</v>
      </c>
    </row>
    <row r="484" spans="1:15" x14ac:dyDescent="0.25">
      <c r="A484" s="57">
        <v>9203</v>
      </c>
      <c r="B484" t="s">
        <v>79</v>
      </c>
      <c r="C484" t="s">
        <v>558</v>
      </c>
      <c r="D484" s="8">
        <v>30097</v>
      </c>
      <c r="E484" s="8">
        <v>28191</v>
      </c>
      <c r="F484" s="8">
        <v>2994</v>
      </c>
      <c r="G484" s="8">
        <v>2937</v>
      </c>
      <c r="H484" s="8">
        <v>2516</v>
      </c>
      <c r="I484" s="8">
        <v>2356</v>
      </c>
      <c r="J484" s="8">
        <v>2716</v>
      </c>
      <c r="K484" s="8">
        <v>2585</v>
      </c>
      <c r="L484" s="8">
        <v>2321</v>
      </c>
      <c r="M484" s="8">
        <v>2049</v>
      </c>
      <c r="N484" s="7">
        <f t="shared" si="14"/>
        <v>106.7610230215317</v>
      </c>
      <c r="O484" s="7">
        <f t="shared" si="15"/>
        <v>111.7050977148175</v>
      </c>
    </row>
    <row r="485" spans="1:15" x14ac:dyDescent="0.25">
      <c r="A485" s="57">
        <v>9204</v>
      </c>
      <c r="B485" t="s">
        <v>79</v>
      </c>
      <c r="C485" t="s">
        <v>559</v>
      </c>
      <c r="D485" s="8">
        <v>25169</v>
      </c>
      <c r="E485" s="8">
        <v>24890</v>
      </c>
      <c r="F485" s="8">
        <v>2390</v>
      </c>
      <c r="G485" s="8">
        <v>2812</v>
      </c>
      <c r="H485" s="8">
        <v>2368</v>
      </c>
      <c r="I485" s="8">
        <v>2028</v>
      </c>
      <c r="J485" s="8">
        <v>2170</v>
      </c>
      <c r="K485" s="8">
        <v>2666</v>
      </c>
      <c r="L485" s="8">
        <v>2413</v>
      </c>
      <c r="M485" s="8">
        <v>2094</v>
      </c>
      <c r="N485" s="7">
        <f t="shared" si="14"/>
        <v>101.12093210124549</v>
      </c>
      <c r="O485" s="7">
        <f t="shared" si="15"/>
        <v>102.7293160655036</v>
      </c>
    </row>
    <row r="486" spans="1:15" x14ac:dyDescent="0.25">
      <c r="A486" s="57">
        <v>9205</v>
      </c>
      <c r="B486" t="s">
        <v>79</v>
      </c>
      <c r="C486" t="s">
        <v>560</v>
      </c>
      <c r="D486" s="8">
        <v>16882</v>
      </c>
      <c r="E486" s="8">
        <v>15873</v>
      </c>
      <c r="F486" s="8">
        <v>1275</v>
      </c>
      <c r="G486" s="8">
        <v>1524</v>
      </c>
      <c r="H486" s="8">
        <v>1331</v>
      </c>
      <c r="I486" s="8">
        <v>1349</v>
      </c>
      <c r="J486" s="8">
        <v>1130</v>
      </c>
      <c r="K486" s="8">
        <v>1526</v>
      </c>
      <c r="L486" s="8">
        <v>1399</v>
      </c>
      <c r="M486" s="8">
        <v>1323</v>
      </c>
      <c r="N486" s="7">
        <f t="shared" si="14"/>
        <v>106.35670635670635</v>
      </c>
      <c r="O486" s="7">
        <f t="shared" si="15"/>
        <v>101.87802156935663</v>
      </c>
    </row>
    <row r="487" spans="1:15" x14ac:dyDescent="0.25">
      <c r="A487" s="57">
        <v>9271</v>
      </c>
      <c r="B487" t="s">
        <v>79</v>
      </c>
      <c r="C487" t="s">
        <v>561</v>
      </c>
      <c r="D487" s="8">
        <v>159646</v>
      </c>
      <c r="E487" s="8">
        <v>146437</v>
      </c>
      <c r="F487" s="8">
        <v>12975</v>
      </c>
      <c r="G487" s="8">
        <v>13741</v>
      </c>
      <c r="H487" s="8">
        <v>15182</v>
      </c>
      <c r="I487" s="8">
        <v>14668</v>
      </c>
      <c r="J487" s="8">
        <v>11860</v>
      </c>
      <c r="K487" s="8">
        <v>12957</v>
      </c>
      <c r="L487" s="8">
        <v>13368</v>
      </c>
      <c r="M487" s="8">
        <v>12666</v>
      </c>
      <c r="N487" s="7">
        <f t="shared" si="14"/>
        <v>109.02026127276577</v>
      </c>
      <c r="O487" s="7">
        <f t="shared" si="15"/>
        <v>111.23871703604648</v>
      </c>
    </row>
    <row r="488" spans="1:15" x14ac:dyDescent="0.25">
      <c r="A488" s="57">
        <v>9403</v>
      </c>
      <c r="B488" t="s">
        <v>80</v>
      </c>
      <c r="C488" t="s">
        <v>562</v>
      </c>
      <c r="D488" s="8">
        <v>91219</v>
      </c>
      <c r="E488" s="8">
        <v>85156</v>
      </c>
      <c r="F488" s="8">
        <v>5928</v>
      </c>
      <c r="G488" s="8">
        <v>7331</v>
      </c>
      <c r="H488" s="8">
        <v>6912</v>
      </c>
      <c r="I488" s="8">
        <v>6821</v>
      </c>
      <c r="J488" s="8">
        <v>5197</v>
      </c>
      <c r="K488" s="8">
        <v>6586</v>
      </c>
      <c r="L488" s="8">
        <v>6283</v>
      </c>
      <c r="M488" s="8">
        <v>6231</v>
      </c>
      <c r="N488" s="7">
        <f t="shared" si="14"/>
        <v>107.1198741133919</v>
      </c>
      <c r="O488" s="7">
        <f t="shared" si="15"/>
        <v>111.09190435033132</v>
      </c>
    </row>
    <row r="489" spans="1:15" x14ac:dyDescent="0.25">
      <c r="A489" s="57">
        <v>9408</v>
      </c>
      <c r="B489" t="s">
        <v>80</v>
      </c>
      <c r="C489" t="s">
        <v>563</v>
      </c>
      <c r="D489" s="8">
        <v>62718</v>
      </c>
      <c r="E489" s="8">
        <v>58935</v>
      </c>
      <c r="F489" s="8">
        <v>4490</v>
      </c>
      <c r="G489" s="8">
        <v>4762</v>
      </c>
      <c r="H489" s="8">
        <v>4455</v>
      </c>
      <c r="I489" s="8">
        <v>4364</v>
      </c>
      <c r="J489" s="8">
        <v>4084</v>
      </c>
      <c r="K489" s="8">
        <v>4590</v>
      </c>
      <c r="L489" s="8">
        <v>4152</v>
      </c>
      <c r="M489" s="8">
        <v>4175</v>
      </c>
      <c r="N489" s="7">
        <f t="shared" si="14"/>
        <v>106.41893611606005</v>
      </c>
      <c r="O489" s="7">
        <f t="shared" si="15"/>
        <v>106.29374742662196</v>
      </c>
    </row>
    <row r="490" spans="1:15" x14ac:dyDescent="0.25">
      <c r="A490" s="57">
        <v>9409</v>
      </c>
      <c r="B490" t="s">
        <v>80</v>
      </c>
      <c r="C490" t="s">
        <v>564</v>
      </c>
      <c r="D490" s="8">
        <v>73870</v>
      </c>
      <c r="E490" s="8">
        <v>70584</v>
      </c>
      <c r="F490" s="8">
        <v>5470</v>
      </c>
      <c r="G490" s="8">
        <v>5722</v>
      </c>
      <c r="H490" s="8">
        <v>5185</v>
      </c>
      <c r="I490" s="8">
        <v>5044</v>
      </c>
      <c r="J490" s="8">
        <v>4759</v>
      </c>
      <c r="K490" s="8">
        <v>5182</v>
      </c>
      <c r="L490" s="8">
        <v>4930</v>
      </c>
      <c r="M490" s="8">
        <v>4654</v>
      </c>
      <c r="N490" s="7">
        <f t="shared" si="14"/>
        <v>104.65544599342627</v>
      </c>
      <c r="O490" s="7">
        <f t="shared" si="15"/>
        <v>109.71062740076825</v>
      </c>
    </row>
    <row r="491" spans="1:15" x14ac:dyDescent="0.25">
      <c r="A491" s="57">
        <v>9419</v>
      </c>
      <c r="B491" t="s">
        <v>80</v>
      </c>
      <c r="C491" t="s">
        <v>565</v>
      </c>
      <c r="D491" s="8">
        <v>23265</v>
      </c>
      <c r="E491" s="8">
        <v>20581</v>
      </c>
      <c r="F491" s="8">
        <v>1480</v>
      </c>
      <c r="G491" s="8">
        <v>1560</v>
      </c>
      <c r="H491" s="8">
        <v>1681</v>
      </c>
      <c r="I491" s="8">
        <v>1998</v>
      </c>
      <c r="J491" s="8">
        <v>1250</v>
      </c>
      <c r="K491" s="8">
        <v>1463</v>
      </c>
      <c r="L491" s="8">
        <v>1450</v>
      </c>
      <c r="M491" s="8">
        <v>1677</v>
      </c>
      <c r="N491" s="7">
        <f t="shared" si="14"/>
        <v>113.0411544628541</v>
      </c>
      <c r="O491" s="7">
        <f t="shared" si="15"/>
        <v>115.05136986301369</v>
      </c>
    </row>
    <row r="492" spans="1:15" x14ac:dyDescent="0.25">
      <c r="A492" s="57">
        <v>9420</v>
      </c>
      <c r="B492" t="s">
        <v>80</v>
      </c>
      <c r="C492" t="s">
        <v>566</v>
      </c>
      <c r="D492" s="8">
        <v>34313</v>
      </c>
      <c r="E492" s="8">
        <v>31137</v>
      </c>
      <c r="F492" s="8">
        <v>1990</v>
      </c>
      <c r="G492" s="8">
        <v>2462</v>
      </c>
      <c r="H492" s="8">
        <v>2399</v>
      </c>
      <c r="I492" s="8">
        <v>2590</v>
      </c>
      <c r="J492" s="8">
        <v>1835</v>
      </c>
      <c r="K492" s="8">
        <v>2095</v>
      </c>
      <c r="L492" s="8">
        <v>2269</v>
      </c>
      <c r="M492" s="8">
        <v>2430</v>
      </c>
      <c r="N492" s="7">
        <f t="shared" si="14"/>
        <v>110.20008350194304</v>
      </c>
      <c r="O492" s="7">
        <f t="shared" si="15"/>
        <v>109.41012863599491</v>
      </c>
    </row>
    <row r="493" spans="1:15" x14ac:dyDescent="0.25">
      <c r="A493" s="57">
        <v>9426</v>
      </c>
      <c r="B493" t="s">
        <v>80</v>
      </c>
      <c r="C493" t="s">
        <v>567</v>
      </c>
      <c r="D493" s="8">
        <v>19379</v>
      </c>
      <c r="E493" s="8">
        <v>17404</v>
      </c>
      <c r="F493" s="8">
        <v>1210</v>
      </c>
      <c r="G493" s="8">
        <v>1369</v>
      </c>
      <c r="H493" s="8">
        <v>1269</v>
      </c>
      <c r="I493" s="8">
        <v>1333</v>
      </c>
      <c r="J493" s="8">
        <v>986</v>
      </c>
      <c r="K493" s="8">
        <v>1191</v>
      </c>
      <c r="L493" s="8">
        <v>1158</v>
      </c>
      <c r="M493" s="8">
        <v>1216</v>
      </c>
      <c r="N493" s="7">
        <f t="shared" si="14"/>
        <v>111.34796598483108</v>
      </c>
      <c r="O493" s="7">
        <f t="shared" si="15"/>
        <v>113.84311140408701</v>
      </c>
    </row>
    <row r="494" spans="1:15" x14ac:dyDescent="0.25">
      <c r="A494" s="57">
        <v>9427</v>
      </c>
      <c r="B494" t="s">
        <v>80</v>
      </c>
      <c r="C494" t="s">
        <v>568</v>
      </c>
      <c r="D494" s="8">
        <v>13167</v>
      </c>
      <c r="E494" s="8">
        <v>12357</v>
      </c>
      <c r="F494" s="8">
        <v>848</v>
      </c>
      <c r="G494" s="8">
        <v>920</v>
      </c>
      <c r="H494" s="8">
        <v>846</v>
      </c>
      <c r="I494" s="8">
        <v>916</v>
      </c>
      <c r="J494" s="8">
        <v>749</v>
      </c>
      <c r="K494" s="8">
        <v>809</v>
      </c>
      <c r="L494" s="8">
        <v>841</v>
      </c>
      <c r="M494" s="8">
        <v>958</v>
      </c>
      <c r="N494" s="7">
        <f t="shared" si="14"/>
        <v>106.55498907501821</v>
      </c>
      <c r="O494" s="7">
        <f t="shared" si="15"/>
        <v>105.15341078343758</v>
      </c>
    </row>
    <row r="495" spans="1:15" x14ac:dyDescent="0.25">
      <c r="A495" s="57">
        <v>9428</v>
      </c>
      <c r="B495" t="s">
        <v>80</v>
      </c>
      <c r="C495" t="s">
        <v>569</v>
      </c>
      <c r="D495" s="8">
        <v>21243</v>
      </c>
      <c r="E495" s="8">
        <v>19644</v>
      </c>
      <c r="F495" s="8">
        <v>1685</v>
      </c>
      <c r="G495" s="8">
        <v>1705</v>
      </c>
      <c r="H495" s="8">
        <v>1724</v>
      </c>
      <c r="I495" s="8">
        <v>1594</v>
      </c>
      <c r="J495" s="8">
        <v>1472</v>
      </c>
      <c r="K495" s="8">
        <v>1565</v>
      </c>
      <c r="L495" s="8">
        <v>1572</v>
      </c>
      <c r="M495" s="8">
        <v>1589</v>
      </c>
      <c r="N495" s="7">
        <f t="shared" si="14"/>
        <v>108.13989004276114</v>
      </c>
      <c r="O495" s="7">
        <f t="shared" si="15"/>
        <v>108.22846079380446</v>
      </c>
    </row>
    <row r="496" spans="1:15" x14ac:dyDescent="0.25">
      <c r="A496" s="57">
        <v>9471</v>
      </c>
      <c r="B496" t="s">
        <v>80</v>
      </c>
      <c r="C496" t="s">
        <v>570</v>
      </c>
      <c r="D496" s="8">
        <v>227695</v>
      </c>
      <c r="E496" s="8">
        <v>203787</v>
      </c>
      <c r="F496" s="8">
        <v>12538</v>
      </c>
      <c r="G496" s="8">
        <v>17199</v>
      </c>
      <c r="H496" s="8">
        <v>21716</v>
      </c>
      <c r="I496" s="8">
        <v>24044</v>
      </c>
      <c r="J496" s="8">
        <v>11256</v>
      </c>
      <c r="K496" s="8">
        <v>16050</v>
      </c>
      <c r="L496" s="8">
        <v>17988</v>
      </c>
      <c r="M496" s="8">
        <v>18921</v>
      </c>
      <c r="N496" s="7">
        <f t="shared" si="14"/>
        <v>111.73185728235855</v>
      </c>
      <c r="O496" s="7">
        <f t="shared" si="15"/>
        <v>117.56910379194892</v>
      </c>
    </row>
    <row r="497" spans="1:15" x14ac:dyDescent="0.25">
      <c r="A497" s="57">
        <v>9501</v>
      </c>
      <c r="B497" t="s">
        <v>81</v>
      </c>
      <c r="C497" t="s">
        <v>571</v>
      </c>
      <c r="D497" s="8">
        <v>126243</v>
      </c>
      <c r="E497" s="8">
        <v>117385</v>
      </c>
      <c r="F497" s="8">
        <v>8137</v>
      </c>
      <c r="G497" s="8">
        <v>9117</v>
      </c>
      <c r="H497" s="8">
        <v>9217</v>
      </c>
      <c r="I497" s="8">
        <v>9048</v>
      </c>
      <c r="J497" s="8">
        <v>7043</v>
      </c>
      <c r="K497" s="8">
        <v>8121</v>
      </c>
      <c r="L497" s="8">
        <v>8217</v>
      </c>
      <c r="M497" s="8">
        <v>8404</v>
      </c>
      <c r="N497" s="7">
        <f t="shared" si="14"/>
        <v>107.5461089577033</v>
      </c>
      <c r="O497" s="7">
        <f t="shared" si="15"/>
        <v>111.74767972313984</v>
      </c>
    </row>
    <row r="498" spans="1:15" x14ac:dyDescent="0.25">
      <c r="A498" s="57">
        <v>9502</v>
      </c>
      <c r="B498" t="s">
        <v>81</v>
      </c>
      <c r="C498" t="s">
        <v>572</v>
      </c>
      <c r="D498" s="8">
        <v>37785</v>
      </c>
      <c r="E498" s="8">
        <v>33724</v>
      </c>
      <c r="F498" s="8">
        <v>2233</v>
      </c>
      <c r="G498" s="8">
        <v>2575</v>
      </c>
      <c r="H498" s="8">
        <v>2483</v>
      </c>
      <c r="I498" s="8">
        <v>2952</v>
      </c>
      <c r="J498" s="8">
        <v>1810</v>
      </c>
      <c r="K498" s="8">
        <v>2252</v>
      </c>
      <c r="L498" s="8">
        <v>2334</v>
      </c>
      <c r="M498" s="8">
        <v>2517</v>
      </c>
      <c r="N498" s="7">
        <f t="shared" si="14"/>
        <v>112.04186929189895</v>
      </c>
      <c r="O498" s="7">
        <f t="shared" si="15"/>
        <v>114.92202400987321</v>
      </c>
    </row>
    <row r="499" spans="1:15" x14ac:dyDescent="0.25">
      <c r="A499" s="57">
        <v>9503</v>
      </c>
      <c r="B499" t="s">
        <v>81</v>
      </c>
      <c r="C499" t="s">
        <v>573</v>
      </c>
      <c r="D499" s="8">
        <v>61021</v>
      </c>
      <c r="E499" s="8">
        <v>57799</v>
      </c>
      <c r="F499" s="8">
        <v>4537</v>
      </c>
      <c r="G499" s="8">
        <v>3996</v>
      </c>
      <c r="H499" s="8">
        <v>3804</v>
      </c>
      <c r="I499" s="8">
        <v>3874</v>
      </c>
      <c r="J499" s="8">
        <v>3861</v>
      </c>
      <c r="K499" s="8">
        <v>3689</v>
      </c>
      <c r="L499" s="8">
        <v>3655</v>
      </c>
      <c r="M499" s="8">
        <v>3786</v>
      </c>
      <c r="N499" s="7">
        <f t="shared" si="14"/>
        <v>105.57449090814718</v>
      </c>
      <c r="O499" s="7">
        <f t="shared" si="15"/>
        <v>108.13821626309119</v>
      </c>
    </row>
    <row r="500" spans="1:15" x14ac:dyDescent="0.25">
      <c r="A500" s="57">
        <v>9504</v>
      </c>
      <c r="B500" t="s">
        <v>81</v>
      </c>
      <c r="C500" t="s">
        <v>574</v>
      </c>
      <c r="D500" s="8">
        <v>63561</v>
      </c>
      <c r="E500" s="8">
        <v>59685</v>
      </c>
      <c r="F500" s="8">
        <v>4857</v>
      </c>
      <c r="G500" s="8">
        <v>4103</v>
      </c>
      <c r="H500" s="8">
        <v>3593</v>
      </c>
      <c r="I500" s="8">
        <v>3857</v>
      </c>
      <c r="J500" s="8">
        <v>4151</v>
      </c>
      <c r="K500" s="8">
        <v>3426</v>
      </c>
      <c r="L500" s="8">
        <v>3692</v>
      </c>
      <c r="M500" s="8">
        <v>3784</v>
      </c>
      <c r="N500" s="7">
        <f t="shared" si="14"/>
        <v>106.4940939934657</v>
      </c>
      <c r="O500" s="7">
        <f t="shared" si="15"/>
        <v>109.01481432272637</v>
      </c>
    </row>
    <row r="501" spans="1:15" x14ac:dyDescent="0.25">
      <c r="A501" s="57">
        <v>9601</v>
      </c>
      <c r="B501" t="s">
        <v>82</v>
      </c>
      <c r="C501" t="s">
        <v>575</v>
      </c>
      <c r="D501" s="8">
        <v>181556</v>
      </c>
      <c r="E501" s="8">
        <v>153817</v>
      </c>
      <c r="F501" s="8">
        <v>11153</v>
      </c>
      <c r="G501" s="8">
        <v>12680</v>
      </c>
      <c r="H501" s="8">
        <v>15185</v>
      </c>
      <c r="I501" s="8">
        <v>16720</v>
      </c>
      <c r="J501" s="8">
        <v>9011</v>
      </c>
      <c r="K501" s="8">
        <v>10485</v>
      </c>
      <c r="L501" s="8">
        <v>12089</v>
      </c>
      <c r="M501" s="8">
        <v>13783</v>
      </c>
      <c r="N501" s="7">
        <f t="shared" si="14"/>
        <v>118.03376739892208</v>
      </c>
      <c r="O501" s="7">
        <f t="shared" si="15"/>
        <v>122.85752071944984</v>
      </c>
    </row>
    <row r="502" spans="1:15" x14ac:dyDescent="0.25">
      <c r="A502" s="57">
        <v>9602</v>
      </c>
      <c r="B502" t="s">
        <v>82</v>
      </c>
      <c r="C502" t="s">
        <v>576</v>
      </c>
      <c r="D502" s="8">
        <v>66940</v>
      </c>
      <c r="E502" s="8">
        <v>62333</v>
      </c>
      <c r="F502" s="8">
        <v>4448</v>
      </c>
      <c r="G502" s="8">
        <v>4891</v>
      </c>
      <c r="H502" s="8">
        <v>6692</v>
      </c>
      <c r="I502" s="8">
        <v>5923</v>
      </c>
      <c r="J502" s="8">
        <v>3741</v>
      </c>
      <c r="K502" s="8">
        <v>4624</v>
      </c>
      <c r="L502" s="8">
        <v>6588</v>
      </c>
      <c r="M502" s="8">
        <v>6032</v>
      </c>
      <c r="N502" s="7">
        <f t="shared" si="14"/>
        <v>107.39094861469847</v>
      </c>
      <c r="O502" s="7">
        <f t="shared" si="15"/>
        <v>104.61758398856327</v>
      </c>
    </row>
    <row r="503" spans="1:15" x14ac:dyDescent="0.25">
      <c r="A503" s="57">
        <v>9603</v>
      </c>
      <c r="B503" t="s">
        <v>82</v>
      </c>
      <c r="C503" t="s">
        <v>577</v>
      </c>
      <c r="D503" s="8">
        <v>57931</v>
      </c>
      <c r="E503" s="8">
        <v>52256</v>
      </c>
      <c r="F503" s="8">
        <v>5065</v>
      </c>
      <c r="G503" s="8">
        <v>5460</v>
      </c>
      <c r="H503" s="8">
        <v>5349</v>
      </c>
      <c r="I503" s="8">
        <v>4131</v>
      </c>
      <c r="J503" s="8">
        <v>4114</v>
      </c>
      <c r="K503" s="8">
        <v>4588</v>
      </c>
      <c r="L503" s="8">
        <v>4570</v>
      </c>
      <c r="M503" s="8">
        <v>3690</v>
      </c>
      <c r="N503" s="7">
        <f t="shared" si="14"/>
        <v>110.85999693815066</v>
      </c>
      <c r="O503" s="7">
        <f t="shared" si="15"/>
        <v>117.94010140313642</v>
      </c>
    </row>
    <row r="504" spans="1:15" x14ac:dyDescent="0.25">
      <c r="A504" s="57">
        <v>9604</v>
      </c>
      <c r="B504" t="s">
        <v>82</v>
      </c>
      <c r="C504" t="s">
        <v>578</v>
      </c>
      <c r="D504" s="8">
        <v>92969</v>
      </c>
      <c r="E504" s="8">
        <v>85452</v>
      </c>
      <c r="F504" s="8">
        <v>6130</v>
      </c>
      <c r="G504" s="8">
        <v>6825</v>
      </c>
      <c r="H504" s="8">
        <v>6751</v>
      </c>
      <c r="I504" s="8">
        <v>6820</v>
      </c>
      <c r="J504" s="8">
        <v>5431</v>
      </c>
      <c r="K504" s="8">
        <v>6342</v>
      </c>
      <c r="L504" s="8">
        <v>6265</v>
      </c>
      <c r="M504" s="8">
        <v>6295</v>
      </c>
      <c r="N504" s="7">
        <f t="shared" si="14"/>
        <v>108.79675139259469</v>
      </c>
      <c r="O504" s="7">
        <f t="shared" si="15"/>
        <v>109.01245222537295</v>
      </c>
    </row>
    <row r="505" spans="1:15" x14ac:dyDescent="0.25">
      <c r="A505" s="57">
        <v>9605</v>
      </c>
      <c r="B505" t="s">
        <v>82</v>
      </c>
      <c r="C505" t="s">
        <v>579</v>
      </c>
      <c r="D505" s="8">
        <v>131849</v>
      </c>
      <c r="E505" s="8">
        <v>112117</v>
      </c>
      <c r="F505" s="8">
        <v>10235</v>
      </c>
      <c r="G505" s="8">
        <v>13962</v>
      </c>
      <c r="H505" s="8">
        <v>15466</v>
      </c>
      <c r="I505" s="8">
        <v>11949</v>
      </c>
      <c r="J505" s="8">
        <v>8244</v>
      </c>
      <c r="K505" s="8">
        <v>11274</v>
      </c>
      <c r="L505" s="8">
        <v>12413</v>
      </c>
      <c r="M505" s="8">
        <v>10540</v>
      </c>
      <c r="N505" s="7">
        <f t="shared" si="14"/>
        <v>117.59947198016359</v>
      </c>
      <c r="O505" s="7">
        <f t="shared" si="15"/>
        <v>121.52292152292152</v>
      </c>
    </row>
    <row r="506" spans="1:15" x14ac:dyDescent="0.25">
      <c r="A506" s="57">
        <v>9606</v>
      </c>
      <c r="B506" t="s">
        <v>82</v>
      </c>
      <c r="C506" t="s">
        <v>580</v>
      </c>
      <c r="D506" s="8">
        <v>76987</v>
      </c>
      <c r="E506" s="8">
        <v>70858</v>
      </c>
      <c r="F506" s="8">
        <v>6217</v>
      </c>
      <c r="G506" s="8">
        <v>7394</v>
      </c>
      <c r="H506" s="8">
        <v>6538</v>
      </c>
      <c r="I506" s="8">
        <v>6226</v>
      </c>
      <c r="J506" s="8">
        <v>5387</v>
      </c>
      <c r="K506" s="8">
        <v>6041</v>
      </c>
      <c r="L506" s="8">
        <v>5856</v>
      </c>
      <c r="M506" s="8">
        <v>6566</v>
      </c>
      <c r="N506" s="7">
        <f t="shared" si="14"/>
        <v>108.6496937537046</v>
      </c>
      <c r="O506" s="7">
        <f t="shared" si="15"/>
        <v>110.58700209643607</v>
      </c>
    </row>
    <row r="507" spans="1:15" x14ac:dyDescent="0.25">
      <c r="A507" s="57">
        <v>9607</v>
      </c>
      <c r="B507" t="s">
        <v>82</v>
      </c>
      <c r="C507" t="s">
        <v>581</v>
      </c>
      <c r="D507" s="8">
        <v>66088</v>
      </c>
      <c r="E507" s="8">
        <v>60064</v>
      </c>
      <c r="F507" s="8">
        <v>5465</v>
      </c>
      <c r="G507" s="8">
        <v>6475</v>
      </c>
      <c r="H507" s="8">
        <v>5857</v>
      </c>
      <c r="I507" s="8">
        <v>4335</v>
      </c>
      <c r="J507" s="8">
        <v>4457</v>
      </c>
      <c r="K507" s="8">
        <v>5116</v>
      </c>
      <c r="L507" s="8">
        <v>5736</v>
      </c>
      <c r="M507" s="8">
        <v>5252</v>
      </c>
      <c r="N507" s="7">
        <f t="shared" si="14"/>
        <v>110.0293020777837</v>
      </c>
      <c r="O507" s="7">
        <f t="shared" si="15"/>
        <v>107.64067895530374</v>
      </c>
    </row>
    <row r="508" spans="1:15" x14ac:dyDescent="0.25">
      <c r="A508" s="57">
        <v>9608</v>
      </c>
      <c r="B508" t="s">
        <v>82</v>
      </c>
      <c r="C508" t="s">
        <v>582</v>
      </c>
      <c r="D508" s="8">
        <v>127511</v>
      </c>
      <c r="E508" s="8">
        <v>112085</v>
      </c>
      <c r="F508" s="8">
        <v>11126</v>
      </c>
      <c r="G508" s="8">
        <v>9898</v>
      </c>
      <c r="H508" s="8">
        <v>10162</v>
      </c>
      <c r="I508" s="8">
        <v>10841</v>
      </c>
      <c r="J508" s="8">
        <v>8835</v>
      </c>
      <c r="K508" s="8">
        <v>7824</v>
      </c>
      <c r="L508" s="8">
        <v>8637</v>
      </c>
      <c r="M508" s="8">
        <v>11318</v>
      </c>
      <c r="N508" s="7">
        <f t="shared" si="14"/>
        <v>113.76276932685016</v>
      </c>
      <c r="O508" s="7">
        <f t="shared" si="15"/>
        <v>114.78396241874694</v>
      </c>
    </row>
    <row r="509" spans="1:15" x14ac:dyDescent="0.25">
      <c r="A509" s="57">
        <v>9701</v>
      </c>
      <c r="B509" t="s">
        <v>83</v>
      </c>
      <c r="C509" t="s">
        <v>583</v>
      </c>
      <c r="D509" s="8">
        <v>62665</v>
      </c>
      <c r="E509" s="8">
        <v>53711</v>
      </c>
      <c r="F509" s="8">
        <v>5372</v>
      </c>
      <c r="G509" s="8">
        <v>5225</v>
      </c>
      <c r="H509" s="8">
        <v>5216</v>
      </c>
      <c r="I509" s="8">
        <v>4973</v>
      </c>
      <c r="J509" s="8">
        <v>3979</v>
      </c>
      <c r="K509" s="8">
        <v>4217</v>
      </c>
      <c r="L509" s="8">
        <v>5364</v>
      </c>
      <c r="M509" s="8">
        <v>5285</v>
      </c>
      <c r="N509" s="7">
        <f t="shared" si="14"/>
        <v>116.67070060136658</v>
      </c>
      <c r="O509" s="7">
        <f t="shared" si="15"/>
        <v>110.29981427434332</v>
      </c>
    </row>
    <row r="510" spans="1:15" x14ac:dyDescent="0.25">
      <c r="A510" s="57">
        <v>9702</v>
      </c>
      <c r="B510" t="s">
        <v>83</v>
      </c>
      <c r="C510" t="s">
        <v>584</v>
      </c>
      <c r="D510" s="8">
        <v>148144</v>
      </c>
      <c r="E510" s="8">
        <v>138457</v>
      </c>
      <c r="F510" s="8">
        <v>12630</v>
      </c>
      <c r="G510" s="8">
        <v>15025</v>
      </c>
      <c r="H510" s="8">
        <v>13271</v>
      </c>
      <c r="I510" s="8">
        <v>11632</v>
      </c>
      <c r="J510" s="8">
        <v>11161</v>
      </c>
      <c r="K510" s="8">
        <v>12455</v>
      </c>
      <c r="L510" s="8">
        <v>11021</v>
      </c>
      <c r="M510" s="8">
        <v>9897</v>
      </c>
      <c r="N510" s="7">
        <f t="shared" si="14"/>
        <v>106.99639599297977</v>
      </c>
      <c r="O510" s="7">
        <f t="shared" si="15"/>
        <v>118.01769434589302</v>
      </c>
    </row>
    <row r="511" spans="1:15" x14ac:dyDescent="0.25">
      <c r="A511" s="57">
        <v>9703</v>
      </c>
      <c r="B511" t="s">
        <v>83</v>
      </c>
      <c r="C511" t="s">
        <v>585</v>
      </c>
      <c r="D511" s="8">
        <v>114525</v>
      </c>
      <c r="E511" s="8">
        <v>99460</v>
      </c>
      <c r="F511" s="8">
        <v>9128</v>
      </c>
      <c r="G511" s="8">
        <v>12787</v>
      </c>
      <c r="H511" s="8">
        <v>10373</v>
      </c>
      <c r="I511" s="8">
        <v>7099</v>
      </c>
      <c r="J511" s="8">
        <v>7351</v>
      </c>
      <c r="K511" s="8">
        <v>11486</v>
      </c>
      <c r="L511" s="8">
        <v>8341</v>
      </c>
      <c r="M511" s="8">
        <v>6989</v>
      </c>
      <c r="N511" s="7">
        <f t="shared" si="14"/>
        <v>115.14679268047456</v>
      </c>
      <c r="O511" s="7">
        <f t="shared" si="15"/>
        <v>115.27789972780754</v>
      </c>
    </row>
    <row r="512" spans="1:15" x14ac:dyDescent="0.25">
      <c r="A512" s="57">
        <v>9704</v>
      </c>
      <c r="B512" t="s">
        <v>83</v>
      </c>
      <c r="C512" t="s">
        <v>586</v>
      </c>
      <c r="D512" s="8">
        <v>134076</v>
      </c>
      <c r="E512" s="8">
        <v>115962</v>
      </c>
      <c r="F512" s="8">
        <v>8359</v>
      </c>
      <c r="G512" s="8">
        <v>10666</v>
      </c>
      <c r="H512" s="8">
        <v>12410</v>
      </c>
      <c r="I512" s="8">
        <v>14228</v>
      </c>
      <c r="J512" s="8">
        <v>6914</v>
      </c>
      <c r="K512" s="8">
        <v>8652</v>
      </c>
      <c r="L512" s="8">
        <v>9766</v>
      </c>
      <c r="M512" s="8">
        <v>10313</v>
      </c>
      <c r="N512" s="7">
        <f t="shared" si="14"/>
        <v>115.62063434573395</v>
      </c>
      <c r="O512" s="7">
        <f t="shared" si="15"/>
        <v>128.10492355169026</v>
      </c>
    </row>
    <row r="513" spans="1:15" x14ac:dyDescent="0.25">
      <c r="A513" s="57">
        <v>9705</v>
      </c>
      <c r="B513" t="s">
        <v>83</v>
      </c>
      <c r="C513" t="s">
        <v>587</v>
      </c>
      <c r="D513" s="8">
        <v>28866</v>
      </c>
      <c r="E513" s="8">
        <v>26208</v>
      </c>
      <c r="F513" s="8">
        <v>2611</v>
      </c>
      <c r="G513" s="8">
        <v>2402</v>
      </c>
      <c r="H513" s="8">
        <v>1953</v>
      </c>
      <c r="I513" s="8">
        <v>2246</v>
      </c>
      <c r="J513" s="8">
        <v>2377</v>
      </c>
      <c r="K513" s="8">
        <v>2251</v>
      </c>
      <c r="L513" s="8">
        <v>2136</v>
      </c>
      <c r="M513" s="8">
        <v>2330</v>
      </c>
      <c r="N513" s="7">
        <f t="shared" si="14"/>
        <v>110.1419413919414</v>
      </c>
      <c r="O513" s="7">
        <f t="shared" si="15"/>
        <v>101.2975588299978</v>
      </c>
    </row>
    <row r="514" spans="1:15" x14ac:dyDescent="0.25">
      <c r="A514" s="57">
        <v>9706</v>
      </c>
      <c r="B514" t="s">
        <v>83</v>
      </c>
      <c r="C514" t="s">
        <v>588</v>
      </c>
      <c r="D514" s="8">
        <v>58645</v>
      </c>
      <c r="E514" s="8">
        <v>52726</v>
      </c>
      <c r="F514" s="8">
        <v>4465</v>
      </c>
      <c r="G514" s="8">
        <v>4843</v>
      </c>
      <c r="H514" s="8">
        <v>5252</v>
      </c>
      <c r="I514" s="8">
        <v>4990</v>
      </c>
      <c r="J514" s="8">
        <v>3982</v>
      </c>
      <c r="K514" s="8">
        <v>4186</v>
      </c>
      <c r="L514" s="8">
        <v>4782</v>
      </c>
      <c r="M514" s="8">
        <v>4523</v>
      </c>
      <c r="N514" s="7">
        <f t="shared" si="14"/>
        <v>111.22596062663581</v>
      </c>
      <c r="O514" s="7">
        <f t="shared" si="15"/>
        <v>111.88691123447605</v>
      </c>
    </row>
    <row r="515" spans="1:15" x14ac:dyDescent="0.25">
      <c r="A515" s="57">
        <v>9707</v>
      </c>
      <c r="B515" t="s">
        <v>83</v>
      </c>
      <c r="C515" t="s">
        <v>589</v>
      </c>
      <c r="D515" s="8">
        <v>205469</v>
      </c>
      <c r="E515" s="8">
        <v>176880</v>
      </c>
      <c r="F515" s="8">
        <v>17697</v>
      </c>
      <c r="G515" s="8">
        <v>22532</v>
      </c>
      <c r="H515" s="8">
        <v>23673</v>
      </c>
      <c r="I515" s="8">
        <v>20887</v>
      </c>
      <c r="J515" s="8">
        <v>14904</v>
      </c>
      <c r="K515" s="8">
        <v>18226</v>
      </c>
      <c r="L515" s="8">
        <v>19162</v>
      </c>
      <c r="M515" s="8">
        <v>15981</v>
      </c>
      <c r="N515" s="7">
        <f t="shared" si="14"/>
        <v>116.16293532338308</v>
      </c>
      <c r="O515" s="7">
        <f t="shared" si="15"/>
        <v>124.19111508209689</v>
      </c>
    </row>
    <row r="516" spans="1:15" x14ac:dyDescent="0.25">
      <c r="A516" s="57">
        <v>9708</v>
      </c>
      <c r="B516" t="s">
        <v>83</v>
      </c>
      <c r="C516" t="s">
        <v>590</v>
      </c>
      <c r="D516" s="8">
        <v>46093</v>
      </c>
      <c r="E516" s="8">
        <v>39977</v>
      </c>
      <c r="F516" s="8">
        <v>3742</v>
      </c>
      <c r="G516" s="8">
        <v>3811</v>
      </c>
      <c r="H516" s="8">
        <v>3745</v>
      </c>
      <c r="I516" s="8">
        <v>3647</v>
      </c>
      <c r="J516" s="8">
        <v>3162</v>
      </c>
      <c r="K516" s="8">
        <v>3103</v>
      </c>
      <c r="L516" s="8">
        <v>3126</v>
      </c>
      <c r="M516" s="8">
        <v>3441</v>
      </c>
      <c r="N516" s="7">
        <f t="shared" ref="N516" si="16">D516/E516*100</f>
        <v>115.29879680816471</v>
      </c>
      <c r="O516" s="7">
        <f t="shared" ref="O516" si="17">SUM(F516:I516)/SUM(J516:M516)*100</f>
        <v>116.46664588528679</v>
      </c>
    </row>
  </sheetData>
  <mergeCells count="6">
    <mergeCell ref="A1:A2"/>
    <mergeCell ref="B1:B2"/>
    <mergeCell ref="C1:C2"/>
    <mergeCell ref="D1:E1"/>
    <mergeCell ref="J1:M1"/>
    <mergeCell ref="F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O42"/>
  <sheetViews>
    <sheetView zoomScaleNormal="100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N41" sqref="N41"/>
    </sheetView>
  </sheetViews>
  <sheetFormatPr defaultColWidth="8.7109375" defaultRowHeight="15" x14ac:dyDescent="0.25"/>
  <cols>
    <col min="1" max="1" width="10" customWidth="1"/>
    <col min="2" max="2" width="26" customWidth="1"/>
    <col min="3" max="5" width="13" customWidth="1"/>
    <col min="6" max="8" width="14" customWidth="1"/>
    <col min="9" max="10" width="10" customWidth="1"/>
    <col min="11" max="11" width="16" customWidth="1"/>
    <col min="12" max="12" width="14" customWidth="1"/>
    <col min="13" max="14" width="12" customWidth="1"/>
    <col min="15" max="15" width="11" customWidth="1"/>
  </cols>
  <sheetData>
    <row r="1" spans="1:15" ht="31.5" customHeight="1" x14ac:dyDescent="0.25">
      <c r="A1" s="4" t="s">
        <v>34</v>
      </c>
      <c r="B1" s="4" t="s">
        <v>1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</row>
    <row r="2" spans="1:15" ht="15.75" x14ac:dyDescent="0.25">
      <c r="A2" s="57">
        <v>11</v>
      </c>
      <c r="B2" s="56" t="s">
        <v>2</v>
      </c>
      <c r="C2" s="61">
        <v>0.75</v>
      </c>
      <c r="D2" s="62">
        <v>0.6</v>
      </c>
      <c r="E2" s="64">
        <v>0.16</v>
      </c>
      <c r="F2" s="16">
        <v>38596</v>
      </c>
      <c r="G2" s="58">
        <v>30611</v>
      </c>
      <c r="H2" s="60">
        <v>7985</v>
      </c>
      <c r="I2" s="8">
        <v>2.36</v>
      </c>
      <c r="J2" s="65">
        <v>16.27</v>
      </c>
      <c r="K2" s="65">
        <v>47.75</v>
      </c>
      <c r="L2" s="65">
        <v>1.36</v>
      </c>
      <c r="M2" s="65">
        <v>100</v>
      </c>
      <c r="N2" s="66">
        <v>100.9</v>
      </c>
      <c r="O2" s="65">
        <v>0.27400000000000002</v>
      </c>
    </row>
    <row r="3" spans="1:15" ht="15.75" x14ac:dyDescent="0.25">
      <c r="A3" s="57">
        <v>12</v>
      </c>
      <c r="B3" s="56" t="s">
        <v>48</v>
      </c>
      <c r="C3" s="61">
        <v>1.1100000000000001</v>
      </c>
      <c r="D3" s="62">
        <v>1.1000000000000001</v>
      </c>
      <c r="E3" s="64">
        <v>0.01</v>
      </c>
      <c r="F3" s="16">
        <v>159199</v>
      </c>
      <c r="G3" s="58">
        <v>157346</v>
      </c>
      <c r="H3" s="60">
        <v>1853</v>
      </c>
      <c r="I3" s="8">
        <v>2.41</v>
      </c>
      <c r="J3" s="65">
        <v>15.88</v>
      </c>
      <c r="K3" s="65">
        <v>48.76</v>
      </c>
      <c r="L3" s="65">
        <v>1.37</v>
      </c>
      <c r="M3" s="65">
        <v>221</v>
      </c>
      <c r="N3" s="66">
        <v>100.8</v>
      </c>
      <c r="O3" s="65">
        <v>0.28299999999999997</v>
      </c>
    </row>
    <row r="4" spans="1:15" ht="15.75" x14ac:dyDescent="0.25">
      <c r="A4" s="57">
        <v>13</v>
      </c>
      <c r="B4" s="56" t="s">
        <v>49</v>
      </c>
      <c r="C4" s="61">
        <v>2.75</v>
      </c>
      <c r="D4" s="62">
        <v>1.55</v>
      </c>
      <c r="E4" s="64">
        <v>1.2</v>
      </c>
      <c r="F4" s="16">
        <v>148170</v>
      </c>
      <c r="G4" s="58">
        <v>83466</v>
      </c>
      <c r="H4" s="60">
        <v>64704</v>
      </c>
      <c r="I4" s="8">
        <v>2.39</v>
      </c>
      <c r="J4" s="65">
        <v>14.58</v>
      </c>
      <c r="K4" s="65">
        <v>47.59</v>
      </c>
      <c r="L4" s="65">
        <v>1.41</v>
      </c>
      <c r="M4" s="65">
        <v>142</v>
      </c>
      <c r="N4" s="66">
        <v>101.5</v>
      </c>
      <c r="O4" s="65">
        <v>0.28000000000000003</v>
      </c>
    </row>
    <row r="5" spans="1:15" ht="15.75" x14ac:dyDescent="0.25">
      <c r="A5" s="57">
        <v>14</v>
      </c>
      <c r="B5" s="56" t="s">
        <v>50</v>
      </c>
      <c r="C5" s="61">
        <v>1.97</v>
      </c>
      <c r="D5" s="62">
        <v>2.0699999999999998</v>
      </c>
      <c r="E5" s="64">
        <v>-0.1</v>
      </c>
      <c r="F5" s="16">
        <v>122560</v>
      </c>
      <c r="G5" s="58">
        <v>128944</v>
      </c>
      <c r="H5" s="60">
        <v>-6384</v>
      </c>
      <c r="I5" s="8">
        <v>2.21</v>
      </c>
      <c r="J5" s="65">
        <v>13.28</v>
      </c>
      <c r="K5" s="65">
        <v>45.58</v>
      </c>
      <c r="L5" s="65">
        <v>1.34</v>
      </c>
      <c r="M5" s="65">
        <v>77</v>
      </c>
      <c r="N5" s="66">
        <v>104.1</v>
      </c>
      <c r="O5" s="65">
        <v>0.30399999999999999</v>
      </c>
    </row>
    <row r="6" spans="1:15" ht="15.75" x14ac:dyDescent="0.25">
      <c r="A6" s="57">
        <v>15</v>
      </c>
      <c r="B6" s="56" t="s">
        <v>51</v>
      </c>
      <c r="C6" s="61">
        <v>1.49</v>
      </c>
      <c r="D6" s="62">
        <v>1.32</v>
      </c>
      <c r="E6" s="64">
        <v>0.18</v>
      </c>
      <c r="F6" s="16">
        <v>51531</v>
      </c>
      <c r="G6" s="58">
        <v>45405</v>
      </c>
      <c r="H6" s="60">
        <v>6127</v>
      </c>
      <c r="I6" s="8">
        <v>2.23</v>
      </c>
      <c r="J6" s="65">
        <v>14.75</v>
      </c>
      <c r="K6" s="65">
        <v>45.24</v>
      </c>
      <c r="L6" s="65">
        <v>1.27</v>
      </c>
      <c r="M6" s="65">
        <v>78</v>
      </c>
      <c r="N6" s="66">
        <v>103</v>
      </c>
      <c r="O6" s="65">
        <v>0.29099999999999998</v>
      </c>
    </row>
    <row r="7" spans="1:15" ht="15.75" x14ac:dyDescent="0.25">
      <c r="A7" s="57">
        <v>16</v>
      </c>
      <c r="B7" s="56" t="s">
        <v>52</v>
      </c>
      <c r="C7" s="61">
        <v>0.89</v>
      </c>
      <c r="D7" s="62">
        <v>1.04</v>
      </c>
      <c r="E7" s="64">
        <v>-0.15</v>
      </c>
      <c r="F7" s="16">
        <v>72724</v>
      </c>
      <c r="G7" s="58">
        <v>85030</v>
      </c>
      <c r="H7" s="60">
        <v>-12306</v>
      </c>
      <c r="I7" s="8">
        <v>2.1800000000000002</v>
      </c>
      <c r="J7" s="65">
        <v>14.66</v>
      </c>
      <c r="K7" s="65">
        <v>47.21</v>
      </c>
      <c r="L7" s="65">
        <v>1.1200000000000001</v>
      </c>
      <c r="M7" s="65">
        <v>104</v>
      </c>
      <c r="N7" s="66">
        <v>104</v>
      </c>
      <c r="O7" s="65">
        <v>0.29799999999999999</v>
      </c>
    </row>
    <row r="8" spans="1:15" ht="15.75" x14ac:dyDescent="0.25">
      <c r="A8" s="57">
        <v>17</v>
      </c>
      <c r="B8" s="56" t="s">
        <v>53</v>
      </c>
      <c r="C8" s="61">
        <v>1.7</v>
      </c>
      <c r="D8" s="62">
        <v>1.07</v>
      </c>
      <c r="E8" s="64">
        <v>0.63</v>
      </c>
      <c r="F8" s="16">
        <v>33155</v>
      </c>
      <c r="G8" s="58">
        <v>20860</v>
      </c>
      <c r="H8" s="60">
        <v>12295</v>
      </c>
      <c r="I8" s="8">
        <v>2.27</v>
      </c>
      <c r="J8" s="65">
        <v>16.89</v>
      </c>
      <c r="K8" s="65">
        <v>45.46</v>
      </c>
      <c r="L8" s="65">
        <v>1.3</v>
      </c>
      <c r="M8" s="65">
        <v>108</v>
      </c>
      <c r="N8" s="66">
        <v>104.1</v>
      </c>
      <c r="O8" s="65">
        <v>0.33900000000000002</v>
      </c>
    </row>
    <row r="9" spans="1:15" ht="15.75" x14ac:dyDescent="0.25">
      <c r="A9" s="57">
        <v>18</v>
      </c>
      <c r="B9" s="56" t="s">
        <v>54</v>
      </c>
      <c r="C9" s="61">
        <v>1.44</v>
      </c>
      <c r="D9" s="62">
        <v>0.86</v>
      </c>
      <c r="E9" s="64">
        <v>0.57999999999999996</v>
      </c>
      <c r="F9" s="16">
        <v>125964</v>
      </c>
      <c r="G9" s="58">
        <v>75462</v>
      </c>
      <c r="H9" s="60">
        <v>50502</v>
      </c>
      <c r="I9" s="8">
        <v>2.23</v>
      </c>
      <c r="J9" s="65">
        <v>13.53</v>
      </c>
      <c r="K9" s="65">
        <v>46.79</v>
      </c>
      <c r="L9" s="65">
        <v>1.18</v>
      </c>
      <c r="M9" s="65">
        <v>287</v>
      </c>
      <c r="N9" s="66">
        <v>103.9</v>
      </c>
      <c r="O9" s="65">
        <v>0.28699999999999998</v>
      </c>
    </row>
    <row r="10" spans="1:15" ht="15.75" x14ac:dyDescent="0.25">
      <c r="A10" s="57">
        <v>19</v>
      </c>
      <c r="B10" s="56" t="s">
        <v>55</v>
      </c>
      <c r="C10" s="61">
        <v>1.63</v>
      </c>
      <c r="D10" s="62">
        <v>1.49</v>
      </c>
      <c r="E10" s="64">
        <v>0.14000000000000001</v>
      </c>
      <c r="F10" s="16">
        <v>23113</v>
      </c>
      <c r="G10" s="58">
        <v>21168</v>
      </c>
      <c r="H10" s="60">
        <v>1944</v>
      </c>
      <c r="I10" s="8">
        <v>2.2000000000000002</v>
      </c>
      <c r="J10" s="65">
        <v>14.53</v>
      </c>
      <c r="K10" s="65">
        <v>43.15</v>
      </c>
      <c r="L10" s="65">
        <v>1.34</v>
      </c>
      <c r="M10" s="65">
        <v>94</v>
      </c>
      <c r="N10" s="66">
        <v>105</v>
      </c>
      <c r="O10" s="65">
        <v>0.214</v>
      </c>
    </row>
    <row r="11" spans="1:15" ht="15.75" x14ac:dyDescent="0.25">
      <c r="A11" s="57">
        <v>21</v>
      </c>
      <c r="B11" s="56" t="s">
        <v>56</v>
      </c>
      <c r="C11" s="61">
        <v>3.61</v>
      </c>
      <c r="D11" s="62">
        <v>3.24</v>
      </c>
      <c r="E11" s="64">
        <v>0.37</v>
      </c>
      <c r="F11" s="16">
        <v>73032</v>
      </c>
      <c r="G11" s="58">
        <v>65540</v>
      </c>
      <c r="H11" s="60">
        <v>7492</v>
      </c>
      <c r="I11" s="8">
        <v>2.17</v>
      </c>
      <c r="J11" s="65">
        <v>11.89</v>
      </c>
      <c r="K11" s="65">
        <v>43.64</v>
      </c>
      <c r="L11" s="65">
        <v>1.47</v>
      </c>
      <c r="M11" s="65">
        <v>275</v>
      </c>
      <c r="N11" s="66">
        <v>102.9</v>
      </c>
      <c r="O11" s="65">
        <v>0.38500000000000001</v>
      </c>
    </row>
    <row r="12" spans="1:15" ht="15.75" x14ac:dyDescent="0.25">
      <c r="A12" s="57">
        <v>31</v>
      </c>
      <c r="B12" s="56" t="s">
        <v>57</v>
      </c>
      <c r="C12" s="61">
        <v>1.27</v>
      </c>
      <c r="D12" s="62">
        <v>6.67</v>
      </c>
      <c r="E12" s="64">
        <v>-5.4</v>
      </c>
      <c r="F12" s="16">
        <v>127465</v>
      </c>
      <c r="G12" s="58">
        <v>667083</v>
      </c>
      <c r="H12" s="60">
        <v>-539618</v>
      </c>
      <c r="I12" s="8">
        <v>1.79</v>
      </c>
      <c r="J12" s="65">
        <v>9.26</v>
      </c>
      <c r="K12" s="65">
        <v>40.340000000000003</v>
      </c>
      <c r="L12" s="65">
        <v>0.32</v>
      </c>
      <c r="M12" s="65">
        <v>16129</v>
      </c>
      <c r="N12" s="66">
        <v>100</v>
      </c>
      <c r="O12" s="65">
        <v>0.42299999999999999</v>
      </c>
    </row>
    <row r="13" spans="1:15" ht="15.75" x14ac:dyDescent="0.25">
      <c r="A13" s="57">
        <v>32</v>
      </c>
      <c r="B13" s="56" t="s">
        <v>58</v>
      </c>
      <c r="C13" s="61">
        <v>1.1599999999999999</v>
      </c>
      <c r="D13" s="62">
        <v>1.0900000000000001</v>
      </c>
      <c r="E13" s="64">
        <v>7.0000000000000007E-2</v>
      </c>
      <c r="F13" s="16">
        <v>545233</v>
      </c>
      <c r="G13" s="58">
        <v>514017</v>
      </c>
      <c r="H13" s="60">
        <v>31216</v>
      </c>
      <c r="I13" s="8">
        <v>2.0499999999999998</v>
      </c>
      <c r="J13" s="65">
        <v>12.84</v>
      </c>
      <c r="K13" s="65">
        <v>43.38</v>
      </c>
      <c r="L13" s="65">
        <v>1.1200000000000001</v>
      </c>
      <c r="M13" s="65">
        <v>1381</v>
      </c>
      <c r="N13" s="66">
        <v>102.3</v>
      </c>
      <c r="O13" s="65">
        <v>0.39700000000000002</v>
      </c>
    </row>
    <row r="14" spans="1:15" ht="15.75" x14ac:dyDescent="0.25">
      <c r="A14" s="57">
        <v>33</v>
      </c>
      <c r="B14" s="56" t="s">
        <v>59</v>
      </c>
      <c r="C14" s="61">
        <v>2.5</v>
      </c>
      <c r="D14" s="62">
        <v>0.7</v>
      </c>
      <c r="E14" s="64">
        <v>1.8</v>
      </c>
      <c r="F14" s="16">
        <v>886346</v>
      </c>
      <c r="G14" s="58">
        <v>247481</v>
      </c>
      <c r="H14" s="60">
        <v>638865</v>
      </c>
      <c r="I14" s="8">
        <v>2.0499999999999998</v>
      </c>
      <c r="J14" s="65">
        <v>10.88</v>
      </c>
      <c r="K14" s="65">
        <v>44.96</v>
      </c>
      <c r="L14" s="65">
        <v>0.97</v>
      </c>
      <c r="M14" s="65">
        <v>1123</v>
      </c>
      <c r="N14" s="66">
        <v>100.8</v>
      </c>
      <c r="O14" s="65">
        <v>0.35</v>
      </c>
    </row>
    <row r="15" spans="1:15" ht="15.75" customHeight="1" x14ac:dyDescent="0.25">
      <c r="A15" s="57">
        <v>34</v>
      </c>
      <c r="B15" s="56" t="s">
        <v>301</v>
      </c>
      <c r="C15" s="61">
        <v>3.85</v>
      </c>
      <c r="D15" s="62">
        <v>3</v>
      </c>
      <c r="E15" s="64">
        <v>0.85</v>
      </c>
      <c r="F15" s="16">
        <v>136492</v>
      </c>
      <c r="G15" s="58">
        <v>106251</v>
      </c>
      <c r="H15" s="60">
        <v>30240</v>
      </c>
      <c r="I15" s="8">
        <v>1.84</v>
      </c>
      <c r="J15" s="65">
        <v>9.8000000000000007</v>
      </c>
      <c r="K15" s="65">
        <v>46.41</v>
      </c>
      <c r="L15" s="65">
        <v>0.64</v>
      </c>
      <c r="M15" s="65">
        <v>1199</v>
      </c>
      <c r="N15" s="66">
        <v>97.7</v>
      </c>
      <c r="O15" s="65">
        <v>0.41399999999999998</v>
      </c>
    </row>
    <row r="16" spans="1:15" ht="15.75" x14ac:dyDescent="0.25">
      <c r="A16" s="57">
        <v>35</v>
      </c>
      <c r="B16" s="56" t="s">
        <v>60</v>
      </c>
      <c r="C16" s="61">
        <v>0.93</v>
      </c>
      <c r="D16" s="62">
        <v>0.66</v>
      </c>
      <c r="E16" s="64">
        <v>0.27</v>
      </c>
      <c r="F16" s="16">
        <v>364329</v>
      </c>
      <c r="G16" s="58">
        <v>259648</v>
      </c>
      <c r="H16" s="60">
        <v>104682</v>
      </c>
      <c r="I16" s="8">
        <v>1.95</v>
      </c>
      <c r="J16" s="65">
        <v>11.84</v>
      </c>
      <c r="K16" s="65">
        <v>44.35</v>
      </c>
      <c r="L16" s="65">
        <v>0.73</v>
      </c>
      <c r="M16" s="65">
        <v>881</v>
      </c>
      <c r="N16" s="66">
        <v>99.3</v>
      </c>
      <c r="O16" s="65">
        <v>0.35899999999999999</v>
      </c>
    </row>
    <row r="17" spans="1:15" ht="15.75" x14ac:dyDescent="0.25">
      <c r="A17" s="57">
        <v>36</v>
      </c>
      <c r="B17" s="56" t="s">
        <v>61</v>
      </c>
      <c r="C17" s="61">
        <v>1.19</v>
      </c>
      <c r="D17" s="62">
        <v>1.9</v>
      </c>
      <c r="E17" s="64">
        <v>-0.71</v>
      </c>
      <c r="F17" s="16">
        <v>137640</v>
      </c>
      <c r="G17" s="58">
        <v>220184</v>
      </c>
      <c r="H17" s="60">
        <v>-82544</v>
      </c>
      <c r="I17" s="8">
        <v>1.96</v>
      </c>
      <c r="J17" s="65">
        <v>12.94</v>
      </c>
      <c r="K17" s="65">
        <v>42.6</v>
      </c>
      <c r="L17" s="65">
        <v>1.1499999999999999</v>
      </c>
      <c r="M17" s="65">
        <v>1351</v>
      </c>
      <c r="N17" s="66">
        <v>103.1</v>
      </c>
      <c r="O17" s="65">
        <v>0.312</v>
      </c>
    </row>
    <row r="18" spans="1:15" ht="15.75" x14ac:dyDescent="0.25">
      <c r="A18" s="57">
        <v>51</v>
      </c>
      <c r="B18" s="56" t="s">
        <v>62</v>
      </c>
      <c r="C18" s="61">
        <v>1.29</v>
      </c>
      <c r="D18" s="62">
        <v>1.62</v>
      </c>
      <c r="E18" s="64">
        <v>-0.33</v>
      </c>
      <c r="F18" s="16">
        <v>53467</v>
      </c>
      <c r="G18" s="58">
        <v>67203</v>
      </c>
      <c r="H18" s="60">
        <v>-13736</v>
      </c>
      <c r="I18" s="8">
        <v>2.02</v>
      </c>
      <c r="J18" s="65">
        <v>11.51</v>
      </c>
      <c r="K18" s="65">
        <v>43.82</v>
      </c>
      <c r="L18" s="65">
        <v>0.69</v>
      </c>
      <c r="M18" s="65">
        <v>804</v>
      </c>
      <c r="N18" s="66">
        <v>100.2</v>
      </c>
      <c r="O18" s="65">
        <v>0.33300000000000002</v>
      </c>
    </row>
    <row r="19" spans="1:15" ht="15.75" x14ac:dyDescent="0.25">
      <c r="A19" s="57">
        <v>52</v>
      </c>
      <c r="B19" s="56" t="s">
        <v>63</v>
      </c>
      <c r="C19" s="61">
        <v>2.37</v>
      </c>
      <c r="D19" s="62">
        <v>0.55000000000000004</v>
      </c>
      <c r="E19" s="64">
        <v>1.82</v>
      </c>
      <c r="F19" s="16">
        <v>123622</v>
      </c>
      <c r="G19" s="58">
        <v>28553</v>
      </c>
      <c r="H19" s="60">
        <v>95069</v>
      </c>
      <c r="I19" s="8">
        <v>2.38</v>
      </c>
      <c r="J19" s="65">
        <v>21.03</v>
      </c>
      <c r="K19" s="65">
        <v>48.77</v>
      </c>
      <c r="L19" s="65">
        <v>1.58</v>
      </c>
      <c r="M19" s="65">
        <v>296</v>
      </c>
      <c r="N19" s="66">
        <v>101.2</v>
      </c>
      <c r="O19" s="65">
        <v>0.36399999999999999</v>
      </c>
    </row>
    <row r="20" spans="1:15" ht="15.75" x14ac:dyDescent="0.25">
      <c r="A20" s="57">
        <v>53</v>
      </c>
      <c r="B20" s="56" t="s">
        <v>64</v>
      </c>
      <c r="C20" s="61">
        <v>2.19</v>
      </c>
      <c r="D20" s="62">
        <v>0.84</v>
      </c>
      <c r="E20" s="64">
        <v>1.35</v>
      </c>
      <c r="F20" s="16">
        <v>113385</v>
      </c>
      <c r="G20" s="58">
        <v>43475</v>
      </c>
      <c r="H20" s="60">
        <v>69910</v>
      </c>
      <c r="I20" s="8">
        <v>2.72</v>
      </c>
      <c r="J20" s="65">
        <v>22.21</v>
      </c>
      <c r="K20" s="65">
        <v>54.92</v>
      </c>
      <c r="L20" s="65">
        <v>1.6</v>
      </c>
      <c r="M20" s="65">
        <v>126</v>
      </c>
      <c r="N20" s="66">
        <v>100</v>
      </c>
      <c r="O20" s="65">
        <v>0.32200000000000001</v>
      </c>
    </row>
    <row r="21" spans="1:15" ht="15.75" x14ac:dyDescent="0.25">
      <c r="A21" s="57">
        <v>61</v>
      </c>
      <c r="B21" s="56" t="s">
        <v>65</v>
      </c>
      <c r="C21" s="61">
        <v>0.75</v>
      </c>
      <c r="D21" s="62">
        <v>0.68</v>
      </c>
      <c r="E21" s="64">
        <v>7.0000000000000007E-2</v>
      </c>
      <c r="F21" s="16">
        <v>39716</v>
      </c>
      <c r="G21" s="58">
        <v>36005</v>
      </c>
      <c r="H21" s="60">
        <v>3711</v>
      </c>
      <c r="I21" s="8">
        <v>2.25</v>
      </c>
      <c r="J21" s="65">
        <v>14.83</v>
      </c>
      <c r="K21" s="65">
        <v>44.93</v>
      </c>
      <c r="L21" s="65">
        <v>1.33</v>
      </c>
      <c r="M21" s="65">
        <v>40</v>
      </c>
      <c r="N21" s="66">
        <v>105.1</v>
      </c>
      <c r="O21" s="65">
        <v>0.308</v>
      </c>
    </row>
    <row r="22" spans="1:15" ht="15.75" x14ac:dyDescent="0.25">
      <c r="A22" s="57">
        <v>62</v>
      </c>
      <c r="B22" s="56" t="s">
        <v>66</v>
      </c>
      <c r="C22" s="61">
        <v>1.78</v>
      </c>
      <c r="D22" s="62">
        <v>2.57</v>
      </c>
      <c r="E22" s="64">
        <v>-0.79</v>
      </c>
      <c r="F22" s="16">
        <v>46170</v>
      </c>
      <c r="G22" s="58">
        <v>66583</v>
      </c>
      <c r="H22" s="60">
        <v>-20413</v>
      </c>
      <c r="I22" s="8">
        <v>2.25</v>
      </c>
      <c r="J22" s="65">
        <v>16.21</v>
      </c>
      <c r="K22" s="65">
        <v>42.62</v>
      </c>
      <c r="L22" s="65">
        <v>1.34</v>
      </c>
      <c r="M22" s="65">
        <v>19</v>
      </c>
      <c r="N22" s="66">
        <v>106.2</v>
      </c>
      <c r="O22" s="65">
        <v>0.28399999999999997</v>
      </c>
    </row>
    <row r="23" spans="1:15" ht="15.75" x14ac:dyDescent="0.25">
      <c r="A23" s="57">
        <v>63</v>
      </c>
      <c r="B23" s="56" t="s">
        <v>67</v>
      </c>
      <c r="C23" s="61">
        <v>1.1000000000000001</v>
      </c>
      <c r="D23" s="62">
        <v>1.21</v>
      </c>
      <c r="E23" s="64">
        <v>-0.11</v>
      </c>
      <c r="F23" s="16">
        <v>43538</v>
      </c>
      <c r="G23" s="58">
        <v>47892</v>
      </c>
      <c r="H23" s="60">
        <v>-4354</v>
      </c>
      <c r="I23" s="8">
        <v>2.2599999999999998</v>
      </c>
      <c r="J23" s="65">
        <v>14.7</v>
      </c>
      <c r="K23" s="65">
        <v>47.17</v>
      </c>
      <c r="L23" s="65">
        <v>1.26</v>
      </c>
      <c r="M23" s="65">
        <v>118</v>
      </c>
      <c r="N23" s="66">
        <v>102.1</v>
      </c>
      <c r="O23" s="65">
        <v>0.28100000000000003</v>
      </c>
    </row>
    <row r="24" spans="1:15" ht="15.75" x14ac:dyDescent="0.25">
      <c r="A24" s="57">
        <v>64</v>
      </c>
      <c r="B24" s="56" t="s">
        <v>68</v>
      </c>
      <c r="C24" s="61">
        <v>2.69</v>
      </c>
      <c r="D24" s="62">
        <v>2.91</v>
      </c>
      <c r="E24" s="64">
        <v>-0.22</v>
      </c>
      <c r="F24" s="16">
        <v>100408</v>
      </c>
      <c r="G24" s="58">
        <v>108723</v>
      </c>
      <c r="H24" s="60">
        <v>-8315</v>
      </c>
      <c r="I24" s="8">
        <v>2.09</v>
      </c>
      <c r="J24" s="65">
        <v>13.47</v>
      </c>
      <c r="K24" s="65">
        <v>40.19</v>
      </c>
      <c r="L24" s="65">
        <v>1.52</v>
      </c>
      <c r="M24" s="65">
        <v>35</v>
      </c>
      <c r="N24" s="66">
        <v>106.5</v>
      </c>
      <c r="O24" s="65">
        <v>0.31</v>
      </c>
    </row>
    <row r="25" spans="1:15" ht="15.75" x14ac:dyDescent="0.25">
      <c r="A25" s="57">
        <v>65</v>
      </c>
      <c r="B25" s="56" t="s">
        <v>69</v>
      </c>
      <c r="C25" s="61">
        <v>2.75</v>
      </c>
      <c r="D25" s="62">
        <v>3.7</v>
      </c>
      <c r="E25" s="64">
        <v>-0.95</v>
      </c>
      <c r="F25" s="16">
        <v>18821</v>
      </c>
      <c r="G25" s="58">
        <v>25301</v>
      </c>
      <c r="H25" s="60">
        <v>-6480</v>
      </c>
      <c r="I25" s="8">
        <v>2.2799999999999998</v>
      </c>
      <c r="J25" s="65">
        <v>14.76</v>
      </c>
      <c r="K25" s="65">
        <v>41.8</v>
      </c>
      <c r="L25" s="65">
        <v>1.39</v>
      </c>
      <c r="M25" s="65">
        <v>11</v>
      </c>
      <c r="N25" s="66">
        <v>110</v>
      </c>
      <c r="O25" s="65">
        <v>0.251</v>
      </c>
    </row>
    <row r="26" spans="1:15" ht="15.75" x14ac:dyDescent="0.25">
      <c r="A26" s="57">
        <v>71</v>
      </c>
      <c r="B26" s="56" t="s">
        <v>70</v>
      </c>
      <c r="C26" s="61">
        <v>0.95</v>
      </c>
      <c r="D26" s="62">
        <v>1.04</v>
      </c>
      <c r="E26" s="64">
        <v>-0.1</v>
      </c>
      <c r="F26" s="16">
        <v>23832</v>
      </c>
      <c r="G26" s="58">
        <v>26241</v>
      </c>
      <c r="H26" s="60">
        <v>-2409</v>
      </c>
      <c r="I26" s="8">
        <v>2.0699999999999998</v>
      </c>
      <c r="J26" s="65">
        <v>15.75</v>
      </c>
      <c r="K26" s="65">
        <v>45.95</v>
      </c>
      <c r="L26" s="65">
        <v>0.79</v>
      </c>
      <c r="M26" s="65">
        <v>189</v>
      </c>
      <c r="N26" s="66">
        <v>104</v>
      </c>
      <c r="O26" s="65">
        <v>0.34100000000000003</v>
      </c>
    </row>
    <row r="27" spans="1:15" ht="15.75" x14ac:dyDescent="0.25">
      <c r="A27" s="57">
        <v>72</v>
      </c>
      <c r="B27" s="56" t="s">
        <v>71</v>
      </c>
      <c r="C27" s="61">
        <v>1.23</v>
      </c>
      <c r="D27" s="62">
        <v>1.57</v>
      </c>
      <c r="E27" s="64">
        <v>-0.34</v>
      </c>
      <c r="F27" s="16">
        <v>35572</v>
      </c>
      <c r="G27" s="58">
        <v>45271</v>
      </c>
      <c r="H27" s="60">
        <v>-9699</v>
      </c>
      <c r="I27" s="8">
        <v>2.25</v>
      </c>
      <c r="J27" s="65">
        <v>23.99</v>
      </c>
      <c r="K27" s="65">
        <v>46.6</v>
      </c>
      <c r="L27" s="65">
        <v>1.17</v>
      </c>
      <c r="M27" s="65">
        <v>52</v>
      </c>
      <c r="N27" s="66">
        <v>105</v>
      </c>
      <c r="O27" s="65">
        <v>0.27700000000000002</v>
      </c>
    </row>
    <row r="28" spans="1:15" ht="15.75" x14ac:dyDescent="0.25">
      <c r="A28" s="57">
        <v>73</v>
      </c>
      <c r="B28" s="56" t="s">
        <v>72</v>
      </c>
      <c r="C28" s="61">
        <v>1.54</v>
      </c>
      <c r="D28" s="62">
        <v>1.49</v>
      </c>
      <c r="E28" s="64">
        <v>0.05</v>
      </c>
      <c r="F28" s="16">
        <v>134595</v>
      </c>
      <c r="G28" s="58">
        <v>130413</v>
      </c>
      <c r="H28" s="60">
        <v>4182</v>
      </c>
      <c r="I28" s="8">
        <v>2.17</v>
      </c>
      <c r="J28" s="65">
        <v>15.76</v>
      </c>
      <c r="K28" s="65">
        <v>44.87</v>
      </c>
      <c r="L28" s="65">
        <v>1.1100000000000001</v>
      </c>
      <c r="M28" s="65">
        <v>213</v>
      </c>
      <c r="N28" s="66">
        <v>98.8</v>
      </c>
      <c r="O28" s="65">
        <v>0.35</v>
      </c>
    </row>
    <row r="29" spans="1:15" ht="15.75" x14ac:dyDescent="0.25">
      <c r="A29" s="57">
        <v>74</v>
      </c>
      <c r="B29" s="56" t="s">
        <v>73</v>
      </c>
      <c r="C29" s="61">
        <v>2.31</v>
      </c>
      <c r="D29" s="62">
        <v>1.1299999999999999</v>
      </c>
      <c r="E29" s="64">
        <v>1.18</v>
      </c>
      <c r="F29" s="16">
        <v>59319</v>
      </c>
      <c r="G29" s="58">
        <v>29132</v>
      </c>
      <c r="H29" s="60">
        <v>30187</v>
      </c>
      <c r="I29" s="8">
        <v>2.48</v>
      </c>
      <c r="J29" s="65">
        <v>19.53</v>
      </c>
      <c r="K29" s="65">
        <v>48.75</v>
      </c>
      <c r="L29" s="65">
        <v>1.65</v>
      </c>
      <c r="M29" s="65">
        <v>80</v>
      </c>
      <c r="N29" s="66">
        <v>102.5</v>
      </c>
      <c r="O29" s="65">
        <v>0.35699999999999998</v>
      </c>
    </row>
    <row r="30" spans="1:15" ht="15.75" x14ac:dyDescent="0.25">
      <c r="A30" s="57">
        <v>75</v>
      </c>
      <c r="B30" s="56" t="s">
        <v>74</v>
      </c>
      <c r="C30" s="61">
        <v>1.31</v>
      </c>
      <c r="D30" s="62">
        <v>1.19</v>
      </c>
      <c r="E30" s="64">
        <v>0.11</v>
      </c>
      <c r="F30" s="16">
        <v>14823</v>
      </c>
      <c r="G30" s="58">
        <v>13522</v>
      </c>
      <c r="H30" s="60">
        <v>1301</v>
      </c>
      <c r="I30" s="8">
        <v>2.2400000000000002</v>
      </c>
      <c r="J30" s="65">
        <v>26.12</v>
      </c>
      <c r="K30" s="65">
        <v>43.89</v>
      </c>
      <c r="L30" s="65">
        <v>1.24</v>
      </c>
      <c r="M30" s="65">
        <v>104</v>
      </c>
      <c r="N30" s="66">
        <v>101.5</v>
      </c>
      <c r="O30" s="65">
        <v>0.38300000000000001</v>
      </c>
    </row>
    <row r="31" spans="1:15" ht="15.75" x14ac:dyDescent="0.25">
      <c r="A31" s="57">
        <v>76</v>
      </c>
      <c r="B31" s="56" t="s">
        <v>75</v>
      </c>
      <c r="C31" s="61">
        <v>2.4900000000000002</v>
      </c>
      <c r="D31" s="62">
        <v>1.48</v>
      </c>
      <c r="E31" s="64">
        <v>1.01</v>
      </c>
      <c r="F31" s="16">
        <v>34333</v>
      </c>
      <c r="G31" s="58">
        <v>20399</v>
      </c>
      <c r="H31" s="60">
        <v>13934</v>
      </c>
      <c r="I31" s="8">
        <v>2.5</v>
      </c>
      <c r="J31" s="65">
        <v>25.7</v>
      </c>
      <c r="K31" s="65">
        <v>49.12</v>
      </c>
      <c r="L31" s="65">
        <v>1.53</v>
      </c>
      <c r="M31" s="65">
        <v>93</v>
      </c>
      <c r="N31" s="66">
        <v>102.6</v>
      </c>
      <c r="O31" s="65">
        <v>0.308</v>
      </c>
    </row>
    <row r="32" spans="1:15" ht="15.75" x14ac:dyDescent="0.25">
      <c r="A32" s="57">
        <v>81</v>
      </c>
      <c r="B32" s="56" t="s">
        <v>76</v>
      </c>
      <c r="C32" s="61">
        <v>1.52</v>
      </c>
      <c r="D32" s="62">
        <v>1.58</v>
      </c>
      <c r="E32" s="64">
        <v>-0.06</v>
      </c>
      <c r="F32" s="16">
        <v>27132</v>
      </c>
      <c r="G32" s="58">
        <v>28144</v>
      </c>
      <c r="H32" s="60">
        <v>-1012</v>
      </c>
      <c r="I32" s="8">
        <v>2.44</v>
      </c>
      <c r="J32" s="65">
        <v>25.66</v>
      </c>
      <c r="K32" s="65">
        <v>45.76</v>
      </c>
      <c r="L32" s="65">
        <v>1.35</v>
      </c>
      <c r="M32" s="65">
        <v>43</v>
      </c>
      <c r="N32" s="66">
        <v>102.2</v>
      </c>
      <c r="O32" s="65">
        <v>0.27300000000000002</v>
      </c>
    </row>
    <row r="33" spans="1:15" ht="15.75" x14ac:dyDescent="0.25">
      <c r="A33" s="57">
        <v>82</v>
      </c>
      <c r="B33" s="56" t="s">
        <v>77</v>
      </c>
      <c r="C33" s="61">
        <v>1.0900000000000001</v>
      </c>
      <c r="D33" s="62">
        <v>1.1599999999999999</v>
      </c>
      <c r="E33" s="64">
        <v>-7.0000000000000007E-2</v>
      </c>
      <c r="F33" s="16">
        <v>13653</v>
      </c>
      <c r="G33" s="58">
        <v>14481</v>
      </c>
      <c r="H33" s="60">
        <v>-827</v>
      </c>
      <c r="I33" s="8">
        <v>2.38</v>
      </c>
      <c r="J33" s="65">
        <v>24.45</v>
      </c>
      <c r="K33" s="65">
        <v>46.21</v>
      </c>
      <c r="L33" s="65">
        <v>1.45</v>
      </c>
      <c r="M33" s="65">
        <v>44</v>
      </c>
      <c r="N33" s="66">
        <v>105.1</v>
      </c>
      <c r="O33" s="65">
        <v>0.27500000000000002</v>
      </c>
    </row>
    <row r="34" spans="1:15" ht="15.75" x14ac:dyDescent="0.25">
      <c r="A34" s="57">
        <v>91</v>
      </c>
      <c r="B34" s="56" t="s">
        <v>78</v>
      </c>
      <c r="C34" s="61">
        <v>2.87</v>
      </c>
      <c r="D34" s="62">
        <v>3.02</v>
      </c>
      <c r="E34" s="64">
        <v>-0.15</v>
      </c>
      <c r="F34" s="16">
        <v>15192</v>
      </c>
      <c r="G34" s="58">
        <v>15998</v>
      </c>
      <c r="H34" s="60">
        <v>-806</v>
      </c>
      <c r="I34" s="8">
        <v>2.62</v>
      </c>
      <c r="J34" s="65">
        <v>33.58</v>
      </c>
      <c r="K34" s="65">
        <v>43.02</v>
      </c>
      <c r="L34" s="65">
        <v>1.67</v>
      </c>
      <c r="M34" s="65">
        <v>10</v>
      </c>
      <c r="N34" s="66">
        <v>110.2</v>
      </c>
      <c r="O34" s="65">
        <v>0.38300000000000001</v>
      </c>
    </row>
    <row r="35" spans="1:15" ht="15.75" x14ac:dyDescent="0.25">
      <c r="A35" s="57">
        <v>92</v>
      </c>
      <c r="B35" s="56" t="s">
        <v>79</v>
      </c>
      <c r="C35" s="61">
        <v>2.71</v>
      </c>
      <c r="D35" s="62">
        <v>3</v>
      </c>
      <c r="E35" s="64">
        <v>-0.28999999999999998</v>
      </c>
      <c r="F35" s="16">
        <v>15486</v>
      </c>
      <c r="G35" s="58">
        <v>17123</v>
      </c>
      <c r="H35" s="60">
        <v>-1637</v>
      </c>
      <c r="I35" s="8">
        <v>2.58</v>
      </c>
      <c r="J35" s="65">
        <v>27.2</v>
      </c>
      <c r="K35" s="65">
        <v>43.16</v>
      </c>
      <c r="L35" s="65">
        <v>1.57</v>
      </c>
      <c r="M35" s="65">
        <v>17</v>
      </c>
      <c r="N35" s="66">
        <v>108.1</v>
      </c>
      <c r="O35" s="65">
        <v>0.36099999999999999</v>
      </c>
    </row>
    <row r="36" spans="1:15" ht="15.75" x14ac:dyDescent="0.25">
      <c r="A36" s="57">
        <v>94</v>
      </c>
      <c r="B36" s="56" t="s">
        <v>80</v>
      </c>
      <c r="C36" s="61">
        <v>1.67</v>
      </c>
      <c r="D36" s="62">
        <v>3.62</v>
      </c>
      <c r="E36" s="64">
        <v>-1.95</v>
      </c>
      <c r="F36" s="16">
        <v>16265</v>
      </c>
      <c r="G36" s="58">
        <v>35290</v>
      </c>
      <c r="H36" s="60">
        <v>-19024</v>
      </c>
      <c r="I36" s="8">
        <v>2.57</v>
      </c>
      <c r="J36" s="65">
        <v>27.07</v>
      </c>
      <c r="K36" s="65">
        <v>58.83</v>
      </c>
      <c r="L36" s="65">
        <v>1.33</v>
      </c>
      <c r="M36" s="65">
        <v>13</v>
      </c>
      <c r="N36" s="66">
        <v>109.1</v>
      </c>
      <c r="O36" s="65">
        <v>0.39700000000000002</v>
      </c>
    </row>
    <row r="37" spans="1:15" ht="15.75" x14ac:dyDescent="0.25">
      <c r="A37" s="57">
        <v>95</v>
      </c>
      <c r="B37" s="56" t="s">
        <v>81</v>
      </c>
      <c r="C37" s="61">
        <v>1.52</v>
      </c>
      <c r="D37" s="62">
        <v>1.56</v>
      </c>
      <c r="E37" s="64">
        <v>-0.04</v>
      </c>
      <c r="F37" s="16">
        <v>7517</v>
      </c>
      <c r="G37" s="58">
        <v>7724</v>
      </c>
      <c r="H37" s="60">
        <v>-207</v>
      </c>
      <c r="I37" s="8">
        <v>2.74</v>
      </c>
      <c r="J37" s="65">
        <v>34.49</v>
      </c>
      <c r="K37" s="65">
        <v>75.400000000000006</v>
      </c>
      <c r="L37" s="65">
        <v>1.44</v>
      </c>
      <c r="M37" s="65">
        <v>5</v>
      </c>
      <c r="N37" s="66">
        <v>107.5</v>
      </c>
      <c r="O37" s="65">
        <v>0.42599999999999999</v>
      </c>
    </row>
    <row r="38" spans="1:15" ht="15.75" x14ac:dyDescent="0.25">
      <c r="A38" s="57">
        <v>96</v>
      </c>
      <c r="B38" s="56" t="s">
        <v>82</v>
      </c>
      <c r="C38" s="61">
        <v>1.05</v>
      </c>
      <c r="D38" s="62">
        <v>1.51</v>
      </c>
      <c r="E38" s="64">
        <v>-0.46</v>
      </c>
      <c r="F38" s="16">
        <v>14108</v>
      </c>
      <c r="G38" s="58">
        <v>20236</v>
      </c>
      <c r="H38" s="60">
        <v>-6128</v>
      </c>
      <c r="I38" s="8">
        <v>2.64</v>
      </c>
      <c r="J38" s="65">
        <v>34.32</v>
      </c>
      <c r="K38" s="65">
        <v>41.79</v>
      </c>
      <c r="L38" s="65">
        <v>1.49</v>
      </c>
      <c r="M38" s="65">
        <v>25</v>
      </c>
      <c r="N38" s="66">
        <v>114</v>
      </c>
      <c r="O38" s="65">
        <v>0.34</v>
      </c>
    </row>
    <row r="39" spans="1:15" ht="15.75" x14ac:dyDescent="0.25">
      <c r="A39" s="57">
        <v>97</v>
      </c>
      <c r="B39" s="56" t="s">
        <v>83</v>
      </c>
      <c r="C39" s="61" t="s">
        <v>595</v>
      </c>
      <c r="D39" s="63">
        <v>0.51</v>
      </c>
      <c r="E39" s="64" t="s">
        <v>595</v>
      </c>
      <c r="F39" s="16" t="s">
        <v>595</v>
      </c>
      <c r="G39" s="59">
        <v>6797</v>
      </c>
      <c r="H39" s="60" t="s">
        <v>595</v>
      </c>
      <c r="I39" s="8">
        <v>2.78</v>
      </c>
      <c r="J39" s="65">
        <v>37.04</v>
      </c>
      <c r="K39" s="65">
        <v>35.83</v>
      </c>
      <c r="L39" s="65">
        <v>1.38</v>
      </c>
      <c r="M39" s="65">
        <v>29</v>
      </c>
      <c r="N39" s="66">
        <v>113.5</v>
      </c>
      <c r="O39" s="65">
        <v>0.34699999999999998</v>
      </c>
    </row>
    <row r="41" spans="1:15" x14ac:dyDescent="0.25">
      <c r="A41" s="15" t="s">
        <v>596</v>
      </c>
      <c r="B41" s="15"/>
      <c r="F41" s="17"/>
    </row>
    <row r="42" spans="1:15" x14ac:dyDescent="0.25">
      <c r="A42" s="3"/>
    </row>
  </sheetData>
  <mergeCells count="1">
    <mergeCell ref="A41:B4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AL38"/>
  <sheetViews>
    <sheetView tabSelected="1" zoomScaleNormal="100" workbookViewId="0">
      <selection activeCell="C8" sqref="C8"/>
    </sheetView>
  </sheetViews>
  <sheetFormatPr defaultColWidth="8.7109375" defaultRowHeight="15" x14ac:dyDescent="0.25"/>
  <cols>
    <col min="1" max="1" width="9" customWidth="1"/>
    <col min="2" max="2" width="22" customWidth="1"/>
    <col min="3" max="38" width="12" customWidth="1"/>
  </cols>
  <sheetData>
    <row r="1" spans="1:38" x14ac:dyDescent="0.25">
      <c r="A1" s="1" t="s">
        <v>597</v>
      </c>
    </row>
    <row r="2" spans="1:38" ht="45" customHeight="1" x14ac:dyDescent="0.25">
      <c r="A2" s="1" t="s">
        <v>34</v>
      </c>
      <c r="B2" s="1" t="s">
        <v>598</v>
      </c>
      <c r="C2" s="67" t="s">
        <v>2</v>
      </c>
      <c r="D2" s="67" t="s">
        <v>48</v>
      </c>
      <c r="E2" s="67" t="s">
        <v>49</v>
      </c>
      <c r="F2" s="67" t="s">
        <v>50</v>
      </c>
      <c r="G2" s="67" t="s">
        <v>51</v>
      </c>
      <c r="H2" s="67" t="s">
        <v>52</v>
      </c>
      <c r="I2" s="67" t="s">
        <v>53</v>
      </c>
      <c r="J2" s="67" t="s">
        <v>54</v>
      </c>
      <c r="K2" s="67" t="s">
        <v>55</v>
      </c>
      <c r="L2" s="67" t="s">
        <v>56</v>
      </c>
      <c r="M2" s="67" t="s">
        <v>57</v>
      </c>
      <c r="N2" s="67" t="s">
        <v>58</v>
      </c>
      <c r="O2" s="67" t="s">
        <v>59</v>
      </c>
      <c r="P2" s="67" t="s">
        <v>301</v>
      </c>
      <c r="Q2" s="67" t="s">
        <v>60</v>
      </c>
      <c r="R2" s="67" t="s">
        <v>61</v>
      </c>
      <c r="S2" s="67" t="s">
        <v>62</v>
      </c>
      <c r="T2" s="67" t="s">
        <v>63</v>
      </c>
      <c r="U2" s="67" t="s">
        <v>64</v>
      </c>
      <c r="V2" s="67" t="s">
        <v>65</v>
      </c>
      <c r="W2" s="67" t="s">
        <v>66</v>
      </c>
      <c r="X2" s="67" t="s">
        <v>67</v>
      </c>
      <c r="Y2" s="67" t="s">
        <v>68</v>
      </c>
      <c r="Z2" s="67" t="s">
        <v>69</v>
      </c>
      <c r="AA2" s="67" t="s">
        <v>70</v>
      </c>
      <c r="AB2" s="67" t="s">
        <v>71</v>
      </c>
      <c r="AC2" s="67" t="s">
        <v>72</v>
      </c>
      <c r="AD2" s="67" t="s">
        <v>73</v>
      </c>
      <c r="AE2" s="67" t="s">
        <v>74</v>
      </c>
      <c r="AF2" s="67" t="s">
        <v>75</v>
      </c>
      <c r="AG2" s="67" t="s">
        <v>76</v>
      </c>
      <c r="AH2" s="67" t="s">
        <v>77</v>
      </c>
      <c r="AI2" s="67" t="s">
        <v>78</v>
      </c>
      <c r="AJ2" s="67" t="s">
        <v>80</v>
      </c>
      <c r="AK2" s="67" t="s">
        <v>599</v>
      </c>
      <c r="AL2" s="67" t="s">
        <v>600</v>
      </c>
    </row>
    <row r="3" spans="1:38" x14ac:dyDescent="0.25">
      <c r="B3" s="68" t="s">
        <v>601</v>
      </c>
      <c r="C3" s="68">
        <v>11</v>
      </c>
      <c r="D3" s="68">
        <v>12</v>
      </c>
      <c r="E3" s="68">
        <v>13</v>
      </c>
      <c r="F3" s="68">
        <v>14</v>
      </c>
      <c r="G3" s="68">
        <v>15</v>
      </c>
      <c r="H3" s="68">
        <v>16</v>
      </c>
      <c r="I3" s="68">
        <v>17</v>
      </c>
      <c r="J3" s="68">
        <v>18</v>
      </c>
      <c r="K3" s="68">
        <v>19</v>
      </c>
      <c r="L3" s="68">
        <v>21</v>
      </c>
      <c r="M3" s="68">
        <v>31</v>
      </c>
      <c r="N3" s="68">
        <v>32</v>
      </c>
      <c r="O3" s="68">
        <v>33</v>
      </c>
      <c r="P3" s="68">
        <v>34</v>
      </c>
      <c r="Q3" s="68">
        <v>35</v>
      </c>
      <c r="R3" s="68">
        <v>36</v>
      </c>
      <c r="S3" s="68">
        <v>51</v>
      </c>
      <c r="T3" s="68">
        <v>52</v>
      </c>
      <c r="U3" s="68">
        <v>53</v>
      </c>
      <c r="V3" s="68">
        <v>61</v>
      </c>
      <c r="W3" s="68">
        <v>62</v>
      </c>
      <c r="X3" s="68">
        <v>63</v>
      </c>
      <c r="Y3" s="68">
        <v>64</v>
      </c>
      <c r="Z3" s="68">
        <v>65</v>
      </c>
      <c r="AA3" s="68">
        <v>71</v>
      </c>
      <c r="AB3" s="68">
        <v>72</v>
      </c>
      <c r="AC3" s="68">
        <v>73</v>
      </c>
      <c r="AD3" s="68">
        <v>74</v>
      </c>
      <c r="AE3" s="68">
        <v>75</v>
      </c>
      <c r="AF3" s="68">
        <v>76</v>
      </c>
      <c r="AG3" s="68">
        <v>81</v>
      </c>
      <c r="AH3" s="68">
        <v>82</v>
      </c>
      <c r="AI3" s="68">
        <v>91</v>
      </c>
      <c r="AJ3" s="68">
        <v>94</v>
      </c>
    </row>
    <row r="4" spans="1:38" x14ac:dyDescent="0.25">
      <c r="A4" s="2">
        <v>11</v>
      </c>
      <c r="B4" s="69" t="s">
        <v>2</v>
      </c>
      <c r="C4" s="70">
        <v>4876719</v>
      </c>
      <c r="D4" s="71">
        <v>21622</v>
      </c>
      <c r="E4" s="71">
        <v>1271</v>
      </c>
      <c r="F4" s="71">
        <v>2076</v>
      </c>
      <c r="G4" s="71">
        <v>474</v>
      </c>
      <c r="H4" s="71">
        <v>379</v>
      </c>
      <c r="I4" s="71">
        <v>270</v>
      </c>
      <c r="J4" s="71">
        <v>390</v>
      </c>
      <c r="K4" s="71">
        <v>34</v>
      </c>
      <c r="L4" s="71">
        <v>921</v>
      </c>
      <c r="M4" s="71">
        <v>2000</v>
      </c>
      <c r="N4" s="71">
        <v>3038</v>
      </c>
      <c r="O4" s="71">
        <v>1191</v>
      </c>
      <c r="P4" s="71">
        <v>255</v>
      </c>
      <c r="Q4" s="71">
        <v>658</v>
      </c>
      <c r="R4" s="71">
        <v>761</v>
      </c>
      <c r="S4" s="71">
        <v>0</v>
      </c>
      <c r="T4" s="71">
        <v>86</v>
      </c>
      <c r="U4" s="71">
        <v>0</v>
      </c>
      <c r="V4" s="71">
        <v>100</v>
      </c>
      <c r="W4" s="71">
        <v>2</v>
      </c>
      <c r="X4" s="71">
        <v>199</v>
      </c>
      <c r="Y4" s="71">
        <v>2</v>
      </c>
      <c r="Z4" s="71">
        <v>26</v>
      </c>
      <c r="AA4" s="71">
        <v>68</v>
      </c>
      <c r="AB4" s="71">
        <v>8</v>
      </c>
      <c r="AC4" s="71">
        <v>47</v>
      </c>
      <c r="AD4" s="71">
        <v>47</v>
      </c>
      <c r="AE4" s="71">
        <v>14</v>
      </c>
      <c r="AF4" s="71">
        <v>23</v>
      </c>
      <c r="AG4" s="71">
        <v>48</v>
      </c>
      <c r="AH4" s="71">
        <v>13</v>
      </c>
      <c r="AI4" s="71">
        <v>32</v>
      </c>
      <c r="AJ4" s="71">
        <v>93</v>
      </c>
      <c r="AK4" s="71">
        <v>2493</v>
      </c>
      <c r="AL4" s="72">
        <v>4915358</v>
      </c>
    </row>
    <row r="5" spans="1:38" x14ac:dyDescent="0.25">
      <c r="A5" s="2">
        <v>12</v>
      </c>
      <c r="B5" s="69" t="s">
        <v>48</v>
      </c>
      <c r="C5" s="71">
        <v>14485</v>
      </c>
      <c r="D5" s="70">
        <v>13557160</v>
      </c>
      <c r="E5" s="71">
        <v>9316</v>
      </c>
      <c r="F5" s="71">
        <v>49179</v>
      </c>
      <c r="G5" s="71">
        <v>6297</v>
      </c>
      <c r="H5" s="71">
        <v>3498</v>
      </c>
      <c r="I5" s="71">
        <v>1794</v>
      </c>
      <c r="J5" s="71">
        <v>1461</v>
      </c>
      <c r="K5" s="71">
        <v>345</v>
      </c>
      <c r="L5" s="71">
        <v>18601</v>
      </c>
      <c r="M5" s="71">
        <v>19064</v>
      </c>
      <c r="N5" s="71">
        <v>21257</v>
      </c>
      <c r="O5" s="71">
        <v>3180</v>
      </c>
      <c r="P5" s="71">
        <v>1231</v>
      </c>
      <c r="Q5" s="71">
        <v>4116</v>
      </c>
      <c r="R5" s="71">
        <v>6178</v>
      </c>
      <c r="S5" s="71">
        <v>874</v>
      </c>
      <c r="T5" s="71">
        <v>823</v>
      </c>
      <c r="U5" s="71">
        <v>244</v>
      </c>
      <c r="V5" s="71">
        <v>1695</v>
      </c>
      <c r="W5" s="71">
        <v>1519</v>
      </c>
      <c r="X5" s="71">
        <v>813</v>
      </c>
      <c r="Y5" s="71">
        <v>1698</v>
      </c>
      <c r="Z5" s="71">
        <v>320</v>
      </c>
      <c r="AA5" s="71">
        <v>1064</v>
      </c>
      <c r="AB5" s="71">
        <v>250</v>
      </c>
      <c r="AC5" s="71">
        <v>726</v>
      </c>
      <c r="AD5" s="71">
        <v>171</v>
      </c>
      <c r="AE5" s="71">
        <v>57</v>
      </c>
      <c r="AF5" s="71">
        <v>45</v>
      </c>
      <c r="AG5" s="71">
        <v>101</v>
      </c>
      <c r="AH5" s="71">
        <v>12</v>
      </c>
      <c r="AI5" s="71">
        <v>324</v>
      </c>
      <c r="AJ5" s="71">
        <v>1574</v>
      </c>
      <c r="AK5" s="71">
        <v>9839</v>
      </c>
      <c r="AL5" s="72">
        <v>13739313</v>
      </c>
    </row>
    <row r="6" spans="1:38" x14ac:dyDescent="0.25">
      <c r="A6" s="2">
        <v>13</v>
      </c>
      <c r="B6" s="69" t="s">
        <v>49</v>
      </c>
      <c r="C6" s="71">
        <v>2161</v>
      </c>
      <c r="D6" s="71">
        <v>18150</v>
      </c>
      <c r="E6" s="70">
        <v>5003182</v>
      </c>
      <c r="F6" s="71">
        <v>45624</v>
      </c>
      <c r="G6" s="71">
        <v>14579</v>
      </c>
      <c r="H6" s="71">
        <v>4942</v>
      </c>
      <c r="I6" s="71">
        <v>5331</v>
      </c>
      <c r="J6" s="71">
        <v>3646</v>
      </c>
      <c r="K6" s="71">
        <v>461</v>
      </c>
      <c r="L6" s="71">
        <v>15324</v>
      </c>
      <c r="M6" s="71">
        <v>22428</v>
      </c>
      <c r="N6" s="71">
        <v>20448</v>
      </c>
      <c r="O6" s="71">
        <v>4552</v>
      </c>
      <c r="P6" s="71">
        <v>987</v>
      </c>
      <c r="Q6" s="71">
        <v>2629</v>
      </c>
      <c r="R6" s="71">
        <v>7232</v>
      </c>
      <c r="S6" s="71">
        <v>733</v>
      </c>
      <c r="T6" s="71">
        <v>385</v>
      </c>
      <c r="U6" s="71">
        <v>376</v>
      </c>
      <c r="V6" s="71">
        <v>579</v>
      </c>
      <c r="W6" s="71">
        <v>474</v>
      </c>
      <c r="X6" s="71">
        <v>192</v>
      </c>
      <c r="Y6" s="71">
        <v>406</v>
      </c>
      <c r="Z6" s="71">
        <v>194</v>
      </c>
      <c r="AA6" s="71">
        <v>157</v>
      </c>
      <c r="AB6" s="71">
        <v>29</v>
      </c>
      <c r="AC6" s="71">
        <v>704</v>
      </c>
      <c r="AD6" s="71">
        <v>126</v>
      </c>
      <c r="AE6" s="71">
        <v>38</v>
      </c>
      <c r="AF6" s="71">
        <v>8</v>
      </c>
      <c r="AG6" s="71">
        <v>102</v>
      </c>
      <c r="AH6" s="71">
        <v>110</v>
      </c>
      <c r="AI6" s="71">
        <v>316</v>
      </c>
      <c r="AJ6" s="71">
        <v>605</v>
      </c>
      <c r="AK6" s="71">
        <v>4820</v>
      </c>
      <c r="AL6" s="72">
        <v>5182031</v>
      </c>
    </row>
    <row r="7" spans="1:38" x14ac:dyDescent="0.25">
      <c r="A7" s="2">
        <v>14</v>
      </c>
      <c r="B7" s="69" t="s">
        <v>50</v>
      </c>
      <c r="C7" s="71">
        <v>2363</v>
      </c>
      <c r="D7" s="71">
        <v>65668</v>
      </c>
      <c r="E7" s="71">
        <v>21359</v>
      </c>
      <c r="F7" s="70">
        <v>5865452</v>
      </c>
      <c r="G7" s="71">
        <v>4359</v>
      </c>
      <c r="H7" s="71">
        <v>2715</v>
      </c>
      <c r="I7" s="71">
        <v>936</v>
      </c>
      <c r="J7" s="71">
        <v>2569</v>
      </c>
      <c r="K7" s="71">
        <v>35</v>
      </c>
      <c r="L7" s="71">
        <v>7531</v>
      </c>
      <c r="M7" s="71">
        <v>2643</v>
      </c>
      <c r="N7" s="71">
        <v>5352</v>
      </c>
      <c r="O7" s="71">
        <v>5884</v>
      </c>
      <c r="P7" s="71">
        <v>1514</v>
      </c>
      <c r="Q7" s="71">
        <v>3610</v>
      </c>
      <c r="R7" s="71">
        <v>1339</v>
      </c>
      <c r="S7" s="71">
        <v>61</v>
      </c>
      <c r="T7" s="71">
        <v>235</v>
      </c>
      <c r="U7" s="71">
        <v>327</v>
      </c>
      <c r="V7" s="71">
        <v>324</v>
      </c>
      <c r="W7" s="71">
        <v>97</v>
      </c>
      <c r="X7" s="71">
        <v>251</v>
      </c>
      <c r="Y7" s="71">
        <v>272</v>
      </c>
      <c r="Z7" s="71">
        <v>100</v>
      </c>
      <c r="AA7" s="71">
        <v>67</v>
      </c>
      <c r="AB7" s="71">
        <v>0</v>
      </c>
      <c r="AC7" s="71">
        <v>182</v>
      </c>
      <c r="AD7" s="71">
        <v>82</v>
      </c>
      <c r="AE7" s="71">
        <v>31</v>
      </c>
      <c r="AF7" s="71">
        <v>0</v>
      </c>
      <c r="AG7" s="71">
        <v>0</v>
      </c>
      <c r="AH7" s="71">
        <v>6</v>
      </c>
      <c r="AI7" s="71">
        <v>22</v>
      </c>
      <c r="AJ7" s="71">
        <v>17</v>
      </c>
      <c r="AK7" s="71">
        <v>1880</v>
      </c>
      <c r="AL7" s="72">
        <v>5997281</v>
      </c>
    </row>
    <row r="8" spans="1:38" x14ac:dyDescent="0.25">
      <c r="A8" s="2">
        <v>15</v>
      </c>
      <c r="B8" s="69" t="s">
        <v>51</v>
      </c>
      <c r="C8" s="71">
        <v>432</v>
      </c>
      <c r="D8" s="71">
        <v>7280</v>
      </c>
      <c r="E8" s="71">
        <v>8843</v>
      </c>
      <c r="F8" s="71">
        <v>5030</v>
      </c>
      <c r="G8" s="70">
        <v>3265469</v>
      </c>
      <c r="H8" s="71">
        <v>7325</v>
      </c>
      <c r="I8" s="71">
        <v>1141</v>
      </c>
      <c r="J8" s="71">
        <v>2875</v>
      </c>
      <c r="K8" s="71">
        <v>266</v>
      </c>
      <c r="L8" s="71">
        <v>1708</v>
      </c>
      <c r="M8" s="71">
        <v>1670</v>
      </c>
      <c r="N8" s="71">
        <v>2979</v>
      </c>
      <c r="O8" s="71">
        <v>3741</v>
      </c>
      <c r="P8" s="71">
        <v>592</v>
      </c>
      <c r="Q8" s="71">
        <v>1790</v>
      </c>
      <c r="R8" s="71">
        <v>560</v>
      </c>
      <c r="S8" s="71">
        <v>80</v>
      </c>
      <c r="T8" s="71">
        <v>117</v>
      </c>
      <c r="U8" s="71">
        <v>85</v>
      </c>
      <c r="V8" s="71">
        <v>172</v>
      </c>
      <c r="W8" s="71">
        <v>179</v>
      </c>
      <c r="X8" s="71">
        <v>20</v>
      </c>
      <c r="Y8" s="71">
        <v>133</v>
      </c>
      <c r="Z8" s="71">
        <v>161</v>
      </c>
      <c r="AA8" s="71">
        <v>10</v>
      </c>
      <c r="AB8" s="71">
        <v>18</v>
      </c>
      <c r="AC8" s="71">
        <v>124</v>
      </c>
      <c r="AD8" s="71">
        <v>89</v>
      </c>
      <c r="AE8" s="71">
        <v>0</v>
      </c>
      <c r="AF8" s="71">
        <v>73</v>
      </c>
      <c r="AG8" s="71">
        <v>35</v>
      </c>
      <c r="AH8" s="71">
        <v>5</v>
      </c>
      <c r="AI8" s="71">
        <v>0</v>
      </c>
      <c r="AJ8" s="71">
        <v>224</v>
      </c>
      <c r="AK8" s="71">
        <v>5163</v>
      </c>
      <c r="AL8" s="72">
        <v>3318392</v>
      </c>
    </row>
    <row r="9" spans="1:38" x14ac:dyDescent="0.25">
      <c r="A9" s="2">
        <v>16</v>
      </c>
      <c r="B9" s="69" t="s">
        <v>52</v>
      </c>
      <c r="C9" s="71">
        <v>1024</v>
      </c>
      <c r="D9" s="71">
        <v>3868</v>
      </c>
      <c r="E9" s="71">
        <v>2304</v>
      </c>
      <c r="F9" s="71">
        <v>2547</v>
      </c>
      <c r="G9" s="71">
        <v>5056</v>
      </c>
      <c r="H9" s="70">
        <v>7806659</v>
      </c>
      <c r="I9" s="71">
        <v>7846</v>
      </c>
      <c r="J9" s="71">
        <v>19987</v>
      </c>
      <c r="K9" s="71">
        <v>2641</v>
      </c>
      <c r="L9" s="71">
        <v>1574</v>
      </c>
      <c r="M9" s="71">
        <v>5757</v>
      </c>
      <c r="N9" s="71">
        <v>13239</v>
      </c>
      <c r="O9" s="71">
        <v>6659</v>
      </c>
      <c r="P9" s="71">
        <v>1819</v>
      </c>
      <c r="Q9" s="71">
        <v>4309</v>
      </c>
      <c r="R9" s="71">
        <v>4046</v>
      </c>
      <c r="S9" s="71">
        <v>328</v>
      </c>
      <c r="T9" s="71">
        <v>175</v>
      </c>
      <c r="U9" s="71">
        <v>38</v>
      </c>
      <c r="V9" s="71">
        <v>231</v>
      </c>
      <c r="W9" s="71">
        <v>207</v>
      </c>
      <c r="X9" s="71">
        <v>198</v>
      </c>
      <c r="Y9" s="71">
        <v>920</v>
      </c>
      <c r="Z9" s="71">
        <v>92</v>
      </c>
      <c r="AA9" s="71">
        <v>15</v>
      </c>
      <c r="AB9" s="71">
        <v>58</v>
      </c>
      <c r="AC9" s="71">
        <v>251</v>
      </c>
      <c r="AD9" s="71">
        <v>84</v>
      </c>
      <c r="AE9" s="71">
        <v>15</v>
      </c>
      <c r="AF9" s="71">
        <v>107</v>
      </c>
      <c r="AG9" s="71">
        <v>41</v>
      </c>
      <c r="AH9" s="71">
        <v>0</v>
      </c>
      <c r="AI9" s="71">
        <v>0</v>
      </c>
      <c r="AJ9" s="71">
        <v>248</v>
      </c>
      <c r="AK9" s="71">
        <v>1213</v>
      </c>
      <c r="AL9" s="72">
        <v>7893556</v>
      </c>
    </row>
    <row r="10" spans="1:38" x14ac:dyDescent="0.25">
      <c r="A10" s="2">
        <v>17</v>
      </c>
      <c r="B10" s="69" t="s">
        <v>53</v>
      </c>
      <c r="C10" s="71">
        <v>318</v>
      </c>
      <c r="D10" s="71">
        <v>2100</v>
      </c>
      <c r="E10" s="71">
        <v>2665</v>
      </c>
      <c r="F10" s="71">
        <v>1230</v>
      </c>
      <c r="G10" s="71">
        <v>2479</v>
      </c>
      <c r="H10" s="71">
        <v>8714</v>
      </c>
      <c r="I10" s="70">
        <v>1849310</v>
      </c>
      <c r="J10" s="71">
        <v>3466</v>
      </c>
      <c r="K10" s="71">
        <v>281</v>
      </c>
      <c r="L10" s="71">
        <v>766</v>
      </c>
      <c r="M10" s="71">
        <v>2108</v>
      </c>
      <c r="N10" s="71">
        <v>4523</v>
      </c>
      <c r="O10" s="71">
        <v>1857</v>
      </c>
      <c r="P10" s="71">
        <v>863</v>
      </c>
      <c r="Q10" s="71">
        <v>1107</v>
      </c>
      <c r="R10" s="71">
        <v>888</v>
      </c>
      <c r="S10" s="71">
        <v>96</v>
      </c>
      <c r="T10" s="71">
        <v>69</v>
      </c>
      <c r="U10" s="71">
        <v>12</v>
      </c>
      <c r="V10" s="71">
        <v>131</v>
      </c>
      <c r="W10" s="71">
        <v>109</v>
      </c>
      <c r="X10" s="71">
        <v>63</v>
      </c>
      <c r="Y10" s="71">
        <v>123</v>
      </c>
      <c r="Z10" s="71">
        <v>10</v>
      </c>
      <c r="AA10" s="71">
        <v>18</v>
      </c>
      <c r="AB10" s="71">
        <v>8</v>
      </c>
      <c r="AC10" s="71">
        <v>101</v>
      </c>
      <c r="AD10" s="71">
        <v>0</v>
      </c>
      <c r="AE10" s="71">
        <v>0</v>
      </c>
      <c r="AF10" s="71">
        <v>105</v>
      </c>
      <c r="AG10" s="71">
        <v>43</v>
      </c>
      <c r="AH10" s="71">
        <v>13</v>
      </c>
      <c r="AI10" s="71">
        <v>4</v>
      </c>
      <c r="AJ10" s="71">
        <v>182</v>
      </c>
      <c r="AK10" s="71">
        <v>394</v>
      </c>
      <c r="AL10" s="72">
        <v>1884154</v>
      </c>
    </row>
    <row r="11" spans="1:38" x14ac:dyDescent="0.25">
      <c r="A11" s="2">
        <v>18</v>
      </c>
      <c r="B11" s="69" t="s">
        <v>54</v>
      </c>
      <c r="C11" s="71">
        <v>503</v>
      </c>
      <c r="D11" s="71">
        <v>2614</v>
      </c>
      <c r="E11" s="71">
        <v>2031</v>
      </c>
      <c r="F11" s="71">
        <v>2383</v>
      </c>
      <c r="G11" s="71">
        <v>2169</v>
      </c>
      <c r="H11" s="71">
        <v>24030</v>
      </c>
      <c r="I11" s="71">
        <v>1763</v>
      </c>
      <c r="J11" s="70">
        <v>8282004</v>
      </c>
      <c r="K11" s="71">
        <v>2306</v>
      </c>
      <c r="L11" s="71">
        <v>1267</v>
      </c>
      <c r="M11" s="71">
        <v>18517</v>
      </c>
      <c r="N11" s="71">
        <v>20634</v>
      </c>
      <c r="O11" s="71">
        <v>8402</v>
      </c>
      <c r="P11" s="71">
        <v>2307</v>
      </c>
      <c r="Q11" s="71">
        <v>7216</v>
      </c>
      <c r="R11" s="71">
        <v>18099</v>
      </c>
      <c r="S11" s="71">
        <v>773</v>
      </c>
      <c r="T11" s="71">
        <v>44</v>
      </c>
      <c r="U11" s="71">
        <v>74</v>
      </c>
      <c r="V11" s="71">
        <v>1139</v>
      </c>
      <c r="W11" s="71">
        <v>314</v>
      </c>
      <c r="X11" s="71">
        <v>606</v>
      </c>
      <c r="Y11" s="71">
        <v>1058</v>
      </c>
      <c r="Z11" s="71">
        <v>0</v>
      </c>
      <c r="AA11" s="71">
        <v>141</v>
      </c>
      <c r="AB11" s="71">
        <v>118</v>
      </c>
      <c r="AC11" s="71">
        <v>616</v>
      </c>
      <c r="AD11" s="71">
        <v>109</v>
      </c>
      <c r="AE11" s="71">
        <v>31</v>
      </c>
      <c r="AF11" s="71">
        <v>3</v>
      </c>
      <c r="AG11" s="71">
        <v>142</v>
      </c>
      <c r="AH11" s="71">
        <v>0</v>
      </c>
      <c r="AI11" s="71">
        <v>373</v>
      </c>
      <c r="AJ11" s="71">
        <v>401</v>
      </c>
      <c r="AK11" s="71">
        <v>7458</v>
      </c>
      <c r="AL11" s="72">
        <v>8409645</v>
      </c>
    </row>
    <row r="12" spans="1:38" x14ac:dyDescent="0.25">
      <c r="A12" s="2">
        <v>19</v>
      </c>
      <c r="B12" s="69" t="s">
        <v>55</v>
      </c>
      <c r="C12" s="71">
        <v>51</v>
      </c>
      <c r="D12" s="71">
        <v>823</v>
      </c>
      <c r="E12" s="71">
        <v>590</v>
      </c>
      <c r="F12" s="71">
        <v>344</v>
      </c>
      <c r="G12" s="71">
        <v>640</v>
      </c>
      <c r="H12" s="71">
        <v>7400</v>
      </c>
      <c r="I12" s="71">
        <v>332</v>
      </c>
      <c r="J12" s="71">
        <v>3030</v>
      </c>
      <c r="K12" s="70">
        <v>1340714</v>
      </c>
      <c r="L12" s="71">
        <v>800</v>
      </c>
      <c r="M12" s="71">
        <v>3638</v>
      </c>
      <c r="N12" s="71">
        <v>4325</v>
      </c>
      <c r="O12" s="71">
        <v>2072</v>
      </c>
      <c r="P12" s="71">
        <v>1174</v>
      </c>
      <c r="Q12" s="71">
        <v>1507</v>
      </c>
      <c r="R12" s="71">
        <v>1146</v>
      </c>
      <c r="S12" s="71">
        <v>117</v>
      </c>
      <c r="T12" s="71">
        <v>591</v>
      </c>
      <c r="U12" s="71">
        <v>113</v>
      </c>
      <c r="V12" s="71">
        <v>210</v>
      </c>
      <c r="W12" s="71">
        <v>51</v>
      </c>
      <c r="X12" s="71">
        <v>33</v>
      </c>
      <c r="Y12" s="71">
        <v>112</v>
      </c>
      <c r="Z12" s="71">
        <v>82</v>
      </c>
      <c r="AA12" s="71">
        <v>52</v>
      </c>
      <c r="AB12" s="71">
        <v>144</v>
      </c>
      <c r="AC12" s="71">
        <v>261</v>
      </c>
      <c r="AD12" s="71">
        <v>378</v>
      </c>
      <c r="AE12" s="71">
        <v>75</v>
      </c>
      <c r="AF12" s="71">
        <v>86</v>
      </c>
      <c r="AG12" s="71">
        <v>2</v>
      </c>
      <c r="AH12" s="71">
        <v>22</v>
      </c>
      <c r="AI12" s="71">
        <v>17</v>
      </c>
      <c r="AJ12" s="71">
        <v>2</v>
      </c>
      <c r="AK12" s="71">
        <v>149</v>
      </c>
      <c r="AL12" s="72">
        <v>1371084</v>
      </c>
    </row>
    <row r="13" spans="1:38" x14ac:dyDescent="0.25">
      <c r="A13" s="2">
        <v>21</v>
      </c>
      <c r="B13" s="69" t="s">
        <v>56</v>
      </c>
      <c r="C13" s="71">
        <v>1871</v>
      </c>
      <c r="D13" s="71">
        <v>24366</v>
      </c>
      <c r="E13" s="71">
        <v>11221</v>
      </c>
      <c r="F13" s="71">
        <v>13622</v>
      </c>
      <c r="G13" s="71">
        <v>2103</v>
      </c>
      <c r="H13" s="71">
        <v>4643</v>
      </c>
      <c r="I13" s="71">
        <v>970</v>
      </c>
      <c r="J13" s="71">
        <v>2422</v>
      </c>
      <c r="K13" s="71">
        <v>726</v>
      </c>
      <c r="L13" s="70">
        <v>1890902</v>
      </c>
      <c r="M13" s="71">
        <v>3380</v>
      </c>
      <c r="N13" s="71">
        <v>5696</v>
      </c>
      <c r="O13" s="71">
        <v>6625</v>
      </c>
      <c r="P13" s="71">
        <v>1116</v>
      </c>
      <c r="Q13" s="71">
        <v>6250</v>
      </c>
      <c r="R13" s="71">
        <v>843</v>
      </c>
      <c r="S13" s="71">
        <v>439</v>
      </c>
      <c r="T13" s="71">
        <v>612</v>
      </c>
      <c r="U13" s="71">
        <v>1902</v>
      </c>
      <c r="V13" s="71">
        <v>1441</v>
      </c>
      <c r="W13" s="71">
        <v>139</v>
      </c>
      <c r="X13" s="71">
        <v>225</v>
      </c>
      <c r="Y13" s="71">
        <v>249</v>
      </c>
      <c r="Z13" s="71">
        <v>73</v>
      </c>
      <c r="AA13" s="71">
        <v>186</v>
      </c>
      <c r="AB13" s="71">
        <v>50</v>
      </c>
      <c r="AC13" s="71">
        <v>891</v>
      </c>
      <c r="AD13" s="71">
        <v>607</v>
      </c>
      <c r="AE13" s="71">
        <v>0</v>
      </c>
      <c r="AF13" s="71">
        <v>0</v>
      </c>
      <c r="AG13" s="71">
        <v>18</v>
      </c>
      <c r="AH13" s="71">
        <v>0</v>
      </c>
      <c r="AI13" s="71">
        <v>83</v>
      </c>
      <c r="AJ13" s="71">
        <v>42</v>
      </c>
      <c r="AK13" s="71">
        <v>1387</v>
      </c>
      <c r="AL13" s="72">
        <v>1985101</v>
      </c>
    </row>
    <row r="14" spans="1:38" x14ac:dyDescent="0.25">
      <c r="A14" s="2">
        <v>31</v>
      </c>
      <c r="B14" s="69" t="s">
        <v>57</v>
      </c>
      <c r="C14" s="71">
        <v>949</v>
      </c>
      <c r="D14" s="71">
        <v>8108</v>
      </c>
      <c r="E14" s="71">
        <v>5040</v>
      </c>
      <c r="F14" s="71">
        <v>2317</v>
      </c>
      <c r="G14" s="71">
        <v>892</v>
      </c>
      <c r="H14" s="71">
        <v>3055</v>
      </c>
      <c r="I14" s="71">
        <v>298</v>
      </c>
      <c r="J14" s="71">
        <v>6189</v>
      </c>
      <c r="K14" s="71">
        <v>708</v>
      </c>
      <c r="L14" s="71">
        <v>933</v>
      </c>
      <c r="M14" s="70">
        <v>9668748</v>
      </c>
      <c r="N14" s="71">
        <v>76296</v>
      </c>
      <c r="O14" s="71">
        <v>48201</v>
      </c>
      <c r="P14" s="71">
        <v>3861</v>
      </c>
      <c r="Q14" s="71">
        <v>16879</v>
      </c>
      <c r="R14" s="71">
        <v>22916</v>
      </c>
      <c r="S14" s="71">
        <v>1212</v>
      </c>
      <c r="T14" s="71">
        <v>1137</v>
      </c>
      <c r="U14" s="71">
        <v>1505</v>
      </c>
      <c r="V14" s="71">
        <v>2270</v>
      </c>
      <c r="W14" s="71">
        <v>355</v>
      </c>
      <c r="X14" s="71">
        <v>835</v>
      </c>
      <c r="Y14" s="71">
        <v>688</v>
      </c>
      <c r="Z14" s="71">
        <v>127</v>
      </c>
      <c r="AA14" s="71">
        <v>618</v>
      </c>
      <c r="AB14" s="71">
        <v>35</v>
      </c>
      <c r="AC14" s="71">
        <v>2443</v>
      </c>
      <c r="AD14" s="71">
        <v>112</v>
      </c>
      <c r="AE14" s="71">
        <v>135</v>
      </c>
      <c r="AF14" s="71">
        <v>39</v>
      </c>
      <c r="AG14" s="71">
        <v>616</v>
      </c>
      <c r="AH14" s="71">
        <v>242</v>
      </c>
      <c r="AI14" s="71">
        <v>122</v>
      </c>
      <c r="AJ14" s="71">
        <v>862</v>
      </c>
      <c r="AK14" s="71">
        <v>2461</v>
      </c>
      <c r="AL14" s="72">
        <v>9881205</v>
      </c>
    </row>
    <row r="15" spans="1:38" x14ac:dyDescent="0.25">
      <c r="A15" s="2">
        <v>32</v>
      </c>
      <c r="B15" s="69" t="s">
        <v>58</v>
      </c>
      <c r="C15" s="71">
        <v>3728</v>
      </c>
      <c r="D15" s="71">
        <v>19801</v>
      </c>
      <c r="E15" s="71">
        <v>12287</v>
      </c>
      <c r="F15" s="71">
        <v>5251</v>
      </c>
      <c r="G15" s="71">
        <v>3227</v>
      </c>
      <c r="H15" s="71">
        <v>10468</v>
      </c>
      <c r="I15" s="71">
        <v>2515</v>
      </c>
      <c r="J15" s="71">
        <v>15702</v>
      </c>
      <c r="K15" s="71">
        <v>1562</v>
      </c>
      <c r="L15" s="71">
        <v>3414</v>
      </c>
      <c r="M15" s="71">
        <v>339634</v>
      </c>
      <c r="N15" s="70">
        <v>44733640</v>
      </c>
      <c r="O15" s="71">
        <v>123205</v>
      </c>
      <c r="P15" s="71">
        <v>8554</v>
      </c>
      <c r="Q15" s="71">
        <v>32723</v>
      </c>
      <c r="R15" s="71">
        <v>71956</v>
      </c>
      <c r="S15" s="71">
        <v>3179</v>
      </c>
      <c r="T15" s="71">
        <v>1468</v>
      </c>
      <c r="U15" s="71">
        <v>787</v>
      </c>
      <c r="V15" s="71">
        <v>4691</v>
      </c>
      <c r="W15" s="71">
        <v>1120</v>
      </c>
      <c r="X15" s="71">
        <v>1865</v>
      </c>
      <c r="Y15" s="71">
        <v>3689</v>
      </c>
      <c r="Z15" s="71">
        <v>611</v>
      </c>
      <c r="AA15" s="71">
        <v>1095</v>
      </c>
      <c r="AB15" s="71">
        <v>1068</v>
      </c>
      <c r="AC15" s="71">
        <v>3129</v>
      </c>
      <c r="AD15" s="71">
        <v>900</v>
      </c>
      <c r="AE15" s="71">
        <v>448</v>
      </c>
      <c r="AF15" s="71">
        <v>68</v>
      </c>
      <c r="AG15" s="71">
        <v>1101</v>
      </c>
      <c r="AH15" s="71">
        <v>294</v>
      </c>
      <c r="AI15" s="71">
        <v>506</v>
      </c>
      <c r="AJ15" s="71">
        <v>1752</v>
      </c>
      <c r="AK15" s="71">
        <v>34671</v>
      </c>
      <c r="AL15" s="72">
        <v>45450109</v>
      </c>
    </row>
    <row r="16" spans="1:38" x14ac:dyDescent="0.25">
      <c r="A16" s="2">
        <v>33</v>
      </c>
      <c r="B16" s="69" t="s">
        <v>59</v>
      </c>
      <c r="C16" s="71">
        <v>2733</v>
      </c>
      <c r="D16" s="71">
        <v>6751</v>
      </c>
      <c r="E16" s="71">
        <v>5212</v>
      </c>
      <c r="F16" s="71">
        <v>8893</v>
      </c>
      <c r="G16" s="71">
        <v>11217</v>
      </c>
      <c r="H16" s="71">
        <v>12127</v>
      </c>
      <c r="I16" s="71">
        <v>2183</v>
      </c>
      <c r="J16" s="71">
        <v>12986</v>
      </c>
      <c r="K16" s="71">
        <v>2784</v>
      </c>
      <c r="L16" s="71">
        <v>12124</v>
      </c>
      <c r="M16" s="71">
        <v>188939</v>
      </c>
      <c r="N16" s="71">
        <v>173999</v>
      </c>
      <c r="O16" s="70">
        <v>33575160</v>
      </c>
      <c r="P16" s="71">
        <v>49606</v>
      </c>
      <c r="Q16" s="71">
        <v>63399</v>
      </c>
      <c r="R16" s="71">
        <v>65752</v>
      </c>
      <c r="S16" s="71">
        <v>6639</v>
      </c>
      <c r="T16" s="71">
        <v>2437</v>
      </c>
      <c r="U16" s="71">
        <v>3353</v>
      </c>
      <c r="V16" s="71">
        <v>12226</v>
      </c>
      <c r="W16" s="71">
        <v>29980</v>
      </c>
      <c r="X16" s="71">
        <v>7190</v>
      </c>
      <c r="Y16" s="71">
        <v>14121</v>
      </c>
      <c r="Z16" s="71">
        <v>551</v>
      </c>
      <c r="AA16" s="71">
        <v>1009</v>
      </c>
      <c r="AB16" s="71">
        <v>3260</v>
      </c>
      <c r="AC16" s="71">
        <v>4485</v>
      </c>
      <c r="AD16" s="71">
        <v>1163</v>
      </c>
      <c r="AE16" s="71">
        <v>649</v>
      </c>
      <c r="AF16" s="71">
        <v>391</v>
      </c>
      <c r="AG16" s="71">
        <v>2105</v>
      </c>
      <c r="AH16" s="71">
        <v>848</v>
      </c>
      <c r="AI16" s="71">
        <v>2479</v>
      </c>
      <c r="AJ16" s="71">
        <v>5984</v>
      </c>
      <c r="AK16" s="71">
        <v>60947</v>
      </c>
      <c r="AL16" s="72">
        <v>34353684</v>
      </c>
    </row>
    <row r="17" spans="1:38" x14ac:dyDescent="0.25">
      <c r="A17" s="2">
        <v>34</v>
      </c>
      <c r="B17" s="69" t="s">
        <v>301</v>
      </c>
      <c r="C17" s="71">
        <v>808</v>
      </c>
      <c r="D17" s="71">
        <v>3639</v>
      </c>
      <c r="E17" s="71">
        <v>1322</v>
      </c>
      <c r="F17" s="71">
        <v>3505</v>
      </c>
      <c r="G17" s="71">
        <v>1931</v>
      </c>
      <c r="H17" s="71">
        <v>4546</v>
      </c>
      <c r="I17" s="71">
        <v>1172</v>
      </c>
      <c r="J17" s="71">
        <v>4361</v>
      </c>
      <c r="K17" s="71">
        <v>1104</v>
      </c>
      <c r="L17" s="71">
        <v>2028</v>
      </c>
      <c r="M17" s="71">
        <v>15291</v>
      </c>
      <c r="N17" s="71">
        <v>24533</v>
      </c>
      <c r="O17" s="71">
        <v>59708</v>
      </c>
      <c r="P17" s="70">
        <v>3334109</v>
      </c>
      <c r="Q17" s="71">
        <v>15873</v>
      </c>
      <c r="R17" s="71">
        <v>9332</v>
      </c>
      <c r="S17" s="71">
        <v>1892</v>
      </c>
      <c r="T17" s="71">
        <v>1847</v>
      </c>
      <c r="U17" s="71">
        <v>2625</v>
      </c>
      <c r="V17" s="71">
        <v>2654</v>
      </c>
      <c r="W17" s="71">
        <v>2289</v>
      </c>
      <c r="X17" s="71">
        <v>1866</v>
      </c>
      <c r="Y17" s="71">
        <v>4158</v>
      </c>
      <c r="Z17" s="71">
        <v>587</v>
      </c>
      <c r="AA17" s="71">
        <v>279</v>
      </c>
      <c r="AB17" s="71">
        <v>1033</v>
      </c>
      <c r="AC17" s="71">
        <v>1372</v>
      </c>
      <c r="AD17" s="71">
        <v>877</v>
      </c>
      <c r="AE17" s="71">
        <v>68</v>
      </c>
      <c r="AF17" s="71">
        <v>77</v>
      </c>
      <c r="AG17" s="71">
        <v>1271</v>
      </c>
      <c r="AH17" s="71">
        <v>452</v>
      </c>
      <c r="AI17" s="71">
        <v>537</v>
      </c>
      <c r="AJ17" s="71">
        <v>2427</v>
      </c>
      <c r="AK17" s="71">
        <v>3421</v>
      </c>
      <c r="AL17" s="72">
        <v>3512994</v>
      </c>
    </row>
    <row r="18" spans="1:38" x14ac:dyDescent="0.25">
      <c r="A18" s="2">
        <v>35</v>
      </c>
      <c r="B18" s="69" t="s">
        <v>60</v>
      </c>
      <c r="C18" s="71">
        <v>1799</v>
      </c>
      <c r="D18" s="71">
        <v>4664</v>
      </c>
      <c r="E18" s="71">
        <v>2377</v>
      </c>
      <c r="F18" s="71">
        <v>4530</v>
      </c>
      <c r="G18" s="71">
        <v>1577</v>
      </c>
      <c r="H18" s="71">
        <v>7635</v>
      </c>
      <c r="I18" s="71">
        <v>1040</v>
      </c>
      <c r="J18" s="71">
        <v>5596</v>
      </c>
      <c r="K18" s="71">
        <v>1123</v>
      </c>
      <c r="L18" s="71">
        <v>6453</v>
      </c>
      <c r="M18" s="71">
        <v>31387</v>
      </c>
      <c r="N18" s="71">
        <v>36330</v>
      </c>
      <c r="O18" s="71">
        <v>47761</v>
      </c>
      <c r="P18" s="71">
        <v>5859</v>
      </c>
      <c r="Q18" s="70">
        <v>38001781</v>
      </c>
      <c r="R18" s="71">
        <v>11700</v>
      </c>
      <c r="S18" s="71">
        <v>26708</v>
      </c>
      <c r="T18" s="71">
        <v>3982</v>
      </c>
      <c r="U18" s="71">
        <v>6175</v>
      </c>
      <c r="V18" s="71">
        <v>4667</v>
      </c>
      <c r="W18" s="71">
        <v>9766</v>
      </c>
      <c r="X18" s="71">
        <v>9094</v>
      </c>
      <c r="Y18" s="71">
        <v>22712</v>
      </c>
      <c r="Z18" s="71">
        <v>3171</v>
      </c>
      <c r="AA18" s="71">
        <v>2487</v>
      </c>
      <c r="AB18" s="71">
        <v>1547</v>
      </c>
      <c r="AC18" s="71">
        <v>4764</v>
      </c>
      <c r="AD18" s="71">
        <v>1339</v>
      </c>
      <c r="AE18" s="71">
        <v>236</v>
      </c>
      <c r="AF18" s="71">
        <v>363</v>
      </c>
      <c r="AG18" s="71">
        <v>2084</v>
      </c>
      <c r="AH18" s="71">
        <v>1104</v>
      </c>
      <c r="AI18" s="71">
        <v>4010</v>
      </c>
      <c r="AJ18" s="71">
        <v>7956</v>
      </c>
      <c r="AK18" s="71">
        <v>82361</v>
      </c>
      <c r="AL18" s="72">
        <v>38366135</v>
      </c>
    </row>
    <row r="19" spans="1:38" x14ac:dyDescent="0.25">
      <c r="A19" s="2">
        <v>36</v>
      </c>
      <c r="B19" s="69" t="s">
        <v>61</v>
      </c>
      <c r="C19" s="71">
        <v>774</v>
      </c>
      <c r="D19" s="71">
        <v>5582</v>
      </c>
      <c r="E19" s="71">
        <v>2469</v>
      </c>
      <c r="F19" s="71">
        <v>1339</v>
      </c>
      <c r="G19" s="71">
        <v>1047</v>
      </c>
      <c r="H19" s="71">
        <v>5788</v>
      </c>
      <c r="I19" s="71">
        <v>578</v>
      </c>
      <c r="J19" s="71">
        <v>11927</v>
      </c>
      <c r="K19" s="71">
        <v>1354</v>
      </c>
      <c r="L19" s="71">
        <v>719</v>
      </c>
      <c r="M19" s="71">
        <v>103105</v>
      </c>
      <c r="N19" s="71">
        <v>52798</v>
      </c>
      <c r="O19" s="71">
        <v>29622</v>
      </c>
      <c r="P19" s="71">
        <v>3894</v>
      </c>
      <c r="Q19" s="71">
        <v>9152</v>
      </c>
      <c r="R19" s="70">
        <v>10968045</v>
      </c>
      <c r="S19" s="71">
        <v>476</v>
      </c>
      <c r="T19" s="71">
        <v>444</v>
      </c>
      <c r="U19" s="71">
        <v>333</v>
      </c>
      <c r="V19" s="71">
        <v>1002</v>
      </c>
      <c r="W19" s="71">
        <v>268</v>
      </c>
      <c r="X19" s="71">
        <v>521</v>
      </c>
      <c r="Y19" s="71">
        <v>703</v>
      </c>
      <c r="Z19" s="71">
        <v>6</v>
      </c>
      <c r="AA19" s="71">
        <v>474</v>
      </c>
      <c r="AB19" s="71">
        <v>292</v>
      </c>
      <c r="AC19" s="71">
        <v>916</v>
      </c>
      <c r="AD19" s="71">
        <v>162</v>
      </c>
      <c r="AE19" s="71">
        <v>48</v>
      </c>
      <c r="AF19" s="71">
        <v>0</v>
      </c>
      <c r="AG19" s="71">
        <v>269</v>
      </c>
      <c r="AH19" s="71">
        <v>18</v>
      </c>
      <c r="AI19" s="71">
        <v>85</v>
      </c>
      <c r="AJ19" s="71">
        <v>112</v>
      </c>
      <c r="AK19" s="71">
        <v>4711</v>
      </c>
      <c r="AL19" s="72">
        <v>11209031</v>
      </c>
    </row>
    <row r="20" spans="1:38" x14ac:dyDescent="0.25">
      <c r="A20" s="2">
        <v>51</v>
      </c>
      <c r="B20" s="69" t="s">
        <v>62</v>
      </c>
      <c r="C20" s="71">
        <v>144</v>
      </c>
      <c r="D20" s="71">
        <v>746</v>
      </c>
      <c r="E20" s="71">
        <v>190</v>
      </c>
      <c r="F20" s="71">
        <v>222</v>
      </c>
      <c r="G20" s="71">
        <v>35</v>
      </c>
      <c r="H20" s="71">
        <v>889</v>
      </c>
      <c r="I20" s="71">
        <v>5</v>
      </c>
      <c r="J20" s="71">
        <v>1275</v>
      </c>
      <c r="K20" s="71">
        <v>100</v>
      </c>
      <c r="L20" s="71">
        <v>93</v>
      </c>
      <c r="M20" s="71">
        <v>2897</v>
      </c>
      <c r="N20" s="71">
        <v>2879</v>
      </c>
      <c r="O20" s="71">
        <v>2469</v>
      </c>
      <c r="P20" s="71">
        <v>689</v>
      </c>
      <c r="Q20" s="71">
        <v>20182</v>
      </c>
      <c r="R20" s="71">
        <v>750</v>
      </c>
      <c r="S20" s="70">
        <v>4063160</v>
      </c>
      <c r="T20" s="71">
        <v>3713</v>
      </c>
      <c r="U20" s="71">
        <v>6336</v>
      </c>
      <c r="V20" s="71">
        <v>260</v>
      </c>
      <c r="W20" s="71">
        <v>80</v>
      </c>
      <c r="X20" s="71">
        <v>79</v>
      </c>
      <c r="Y20" s="71">
        <v>302</v>
      </c>
      <c r="Z20" s="71">
        <v>0</v>
      </c>
      <c r="AA20" s="71">
        <v>226</v>
      </c>
      <c r="AB20" s="71">
        <v>820</v>
      </c>
      <c r="AC20" s="71">
        <v>438</v>
      </c>
      <c r="AD20" s="71">
        <v>334</v>
      </c>
      <c r="AE20" s="71">
        <v>16</v>
      </c>
      <c r="AF20" s="71">
        <v>160</v>
      </c>
      <c r="AG20" s="71">
        <v>117</v>
      </c>
      <c r="AH20" s="71">
        <v>22</v>
      </c>
      <c r="AI20" s="71">
        <v>108</v>
      </c>
      <c r="AJ20" s="71">
        <v>245</v>
      </c>
      <c r="AK20" s="71">
        <v>2350</v>
      </c>
      <c r="AL20" s="72">
        <v>4112331</v>
      </c>
    </row>
    <row r="21" spans="1:38" x14ac:dyDescent="0.25">
      <c r="A21" s="2">
        <v>52</v>
      </c>
      <c r="B21" s="69" t="s">
        <v>63</v>
      </c>
      <c r="C21" s="71">
        <v>304</v>
      </c>
      <c r="D21" s="71">
        <v>687</v>
      </c>
      <c r="E21" s="71">
        <v>700</v>
      </c>
      <c r="F21" s="71">
        <v>678</v>
      </c>
      <c r="G21" s="71">
        <v>124</v>
      </c>
      <c r="H21" s="71">
        <v>629</v>
      </c>
      <c r="I21" s="71">
        <v>23</v>
      </c>
      <c r="J21" s="71">
        <v>302</v>
      </c>
      <c r="K21" s="71">
        <v>644</v>
      </c>
      <c r="L21" s="71">
        <v>1253</v>
      </c>
      <c r="M21" s="71">
        <v>3969</v>
      </c>
      <c r="N21" s="71">
        <v>4348</v>
      </c>
      <c r="O21" s="71">
        <v>3019</v>
      </c>
      <c r="P21" s="71">
        <v>2963</v>
      </c>
      <c r="Q21" s="71">
        <v>7896</v>
      </c>
      <c r="R21" s="71">
        <v>1213</v>
      </c>
      <c r="S21" s="71">
        <v>11620</v>
      </c>
      <c r="T21" s="70">
        <v>4811682</v>
      </c>
      <c r="U21" s="71">
        <v>3487</v>
      </c>
      <c r="V21" s="71">
        <v>2700</v>
      </c>
      <c r="W21" s="71">
        <v>3883</v>
      </c>
      <c r="X21" s="71">
        <v>2037</v>
      </c>
      <c r="Y21" s="71">
        <v>7658</v>
      </c>
      <c r="Z21" s="71">
        <v>671</v>
      </c>
      <c r="AA21" s="71">
        <v>362</v>
      </c>
      <c r="AB21" s="71">
        <v>532</v>
      </c>
      <c r="AC21" s="71">
        <v>4561</v>
      </c>
      <c r="AD21" s="71">
        <v>238</v>
      </c>
      <c r="AE21" s="71">
        <v>2</v>
      </c>
      <c r="AF21" s="71">
        <v>332</v>
      </c>
      <c r="AG21" s="71">
        <v>146</v>
      </c>
      <c r="AH21" s="71">
        <v>15</v>
      </c>
      <c r="AI21" s="71">
        <v>355</v>
      </c>
      <c r="AJ21" s="71">
        <v>2067</v>
      </c>
      <c r="AK21" s="71">
        <v>93230</v>
      </c>
      <c r="AL21" s="72">
        <v>4974331</v>
      </c>
    </row>
    <row r="22" spans="1:38" x14ac:dyDescent="0.25">
      <c r="A22" s="2">
        <v>53</v>
      </c>
      <c r="B22" s="69" t="s">
        <v>64</v>
      </c>
      <c r="C22" s="71">
        <v>26</v>
      </c>
      <c r="D22" s="71">
        <v>842</v>
      </c>
      <c r="E22" s="71">
        <v>335</v>
      </c>
      <c r="F22" s="71">
        <v>311</v>
      </c>
      <c r="G22" s="71">
        <v>83</v>
      </c>
      <c r="H22" s="71">
        <v>463</v>
      </c>
      <c r="I22" s="71">
        <v>50</v>
      </c>
      <c r="J22" s="71">
        <v>345</v>
      </c>
      <c r="K22" s="71">
        <v>395</v>
      </c>
      <c r="L22" s="71">
        <v>3124</v>
      </c>
      <c r="M22" s="71">
        <v>5457</v>
      </c>
      <c r="N22" s="71">
        <v>3562</v>
      </c>
      <c r="O22" s="71">
        <v>2783</v>
      </c>
      <c r="P22" s="71">
        <v>3611</v>
      </c>
      <c r="Q22" s="71">
        <v>14886</v>
      </c>
      <c r="R22" s="71">
        <v>748</v>
      </c>
      <c r="S22" s="71">
        <v>14451</v>
      </c>
      <c r="T22" s="71">
        <v>3556</v>
      </c>
      <c r="U22" s="70">
        <v>4797386</v>
      </c>
      <c r="V22" s="71">
        <v>1423</v>
      </c>
      <c r="W22" s="71">
        <v>3591</v>
      </c>
      <c r="X22" s="71">
        <v>1600</v>
      </c>
      <c r="Y22" s="71">
        <v>12582</v>
      </c>
      <c r="Z22" s="71">
        <v>2406</v>
      </c>
      <c r="AA22" s="71">
        <v>567</v>
      </c>
      <c r="AB22" s="71">
        <v>254</v>
      </c>
      <c r="AC22" s="71">
        <v>8903</v>
      </c>
      <c r="AD22" s="71">
        <v>380</v>
      </c>
      <c r="AE22" s="71">
        <v>39</v>
      </c>
      <c r="AF22" s="71">
        <v>152</v>
      </c>
      <c r="AG22" s="71">
        <v>1229</v>
      </c>
      <c r="AH22" s="71">
        <v>138</v>
      </c>
      <c r="AI22" s="71">
        <v>2010</v>
      </c>
      <c r="AJ22" s="71">
        <v>5311</v>
      </c>
      <c r="AK22" s="71">
        <v>13764</v>
      </c>
      <c r="AL22" s="72">
        <v>4906763</v>
      </c>
    </row>
    <row r="23" spans="1:38" x14ac:dyDescent="0.25">
      <c r="A23" s="2">
        <v>61</v>
      </c>
      <c r="B23" s="69" t="s">
        <v>65</v>
      </c>
      <c r="C23" s="71">
        <v>122</v>
      </c>
      <c r="D23" s="71">
        <v>1671</v>
      </c>
      <c r="E23" s="71">
        <v>671</v>
      </c>
      <c r="F23" s="71">
        <v>987</v>
      </c>
      <c r="G23" s="71">
        <v>281</v>
      </c>
      <c r="H23" s="71">
        <v>188</v>
      </c>
      <c r="I23" s="71">
        <v>55</v>
      </c>
      <c r="J23" s="71">
        <v>875</v>
      </c>
      <c r="K23" s="71">
        <v>220</v>
      </c>
      <c r="L23" s="71">
        <v>932</v>
      </c>
      <c r="M23" s="71">
        <v>4620</v>
      </c>
      <c r="N23" s="71">
        <v>3473</v>
      </c>
      <c r="O23" s="71">
        <v>6393</v>
      </c>
      <c r="P23" s="71">
        <v>1454</v>
      </c>
      <c r="Q23" s="71">
        <v>3692</v>
      </c>
      <c r="R23" s="71">
        <v>1792</v>
      </c>
      <c r="S23" s="71">
        <v>206</v>
      </c>
      <c r="T23" s="71">
        <v>344</v>
      </c>
      <c r="U23" s="71">
        <v>1063</v>
      </c>
      <c r="V23" s="70">
        <v>5008390</v>
      </c>
      <c r="W23" s="71">
        <v>1523</v>
      </c>
      <c r="X23" s="71">
        <v>527</v>
      </c>
      <c r="Y23" s="71">
        <v>996</v>
      </c>
      <c r="Z23" s="71">
        <v>66</v>
      </c>
      <c r="AA23" s="71">
        <v>64</v>
      </c>
      <c r="AB23" s="71">
        <v>99</v>
      </c>
      <c r="AC23" s="71">
        <v>531</v>
      </c>
      <c r="AD23" s="71">
        <v>137</v>
      </c>
      <c r="AE23" s="71">
        <v>25</v>
      </c>
      <c r="AF23" s="71">
        <v>24</v>
      </c>
      <c r="AG23" s="71">
        <v>45</v>
      </c>
      <c r="AH23" s="71">
        <v>111</v>
      </c>
      <c r="AI23" s="71">
        <v>52</v>
      </c>
      <c r="AJ23" s="71">
        <v>190</v>
      </c>
      <c r="AK23" s="71">
        <v>25212</v>
      </c>
      <c r="AL23" s="72">
        <v>5067031</v>
      </c>
    </row>
    <row r="24" spans="1:38" x14ac:dyDescent="0.25">
      <c r="A24" s="2">
        <v>62</v>
      </c>
      <c r="B24" s="69" t="s">
        <v>66</v>
      </c>
      <c r="C24" s="71">
        <v>104</v>
      </c>
      <c r="D24" s="71">
        <v>2472</v>
      </c>
      <c r="E24" s="71">
        <v>399</v>
      </c>
      <c r="F24" s="71">
        <v>345</v>
      </c>
      <c r="G24" s="71">
        <v>438</v>
      </c>
      <c r="H24" s="71">
        <v>617</v>
      </c>
      <c r="I24" s="71">
        <v>136</v>
      </c>
      <c r="J24" s="71">
        <v>1344</v>
      </c>
      <c r="K24" s="71">
        <v>102</v>
      </c>
      <c r="L24" s="71">
        <v>30</v>
      </c>
      <c r="M24" s="71">
        <v>1530</v>
      </c>
      <c r="N24" s="71">
        <v>3791</v>
      </c>
      <c r="O24" s="71">
        <v>17670</v>
      </c>
      <c r="P24" s="71">
        <v>1179</v>
      </c>
      <c r="Q24" s="71">
        <v>8786</v>
      </c>
      <c r="R24" s="71">
        <v>915</v>
      </c>
      <c r="S24" s="71">
        <v>145</v>
      </c>
      <c r="T24" s="71">
        <v>2435</v>
      </c>
      <c r="U24" s="71">
        <v>7578</v>
      </c>
      <c r="V24" s="71">
        <v>2927</v>
      </c>
      <c r="W24" s="70">
        <v>2448146</v>
      </c>
      <c r="X24" s="71">
        <v>12807</v>
      </c>
      <c r="Y24" s="71">
        <v>1711</v>
      </c>
      <c r="Z24" s="71">
        <v>420</v>
      </c>
      <c r="AA24" s="71">
        <v>364</v>
      </c>
      <c r="AB24" s="71">
        <v>459</v>
      </c>
      <c r="AC24" s="71">
        <v>1397</v>
      </c>
      <c r="AD24" s="71">
        <v>73</v>
      </c>
      <c r="AE24" s="71">
        <v>33</v>
      </c>
      <c r="AF24" s="71">
        <v>75</v>
      </c>
      <c r="AG24" s="71">
        <v>205</v>
      </c>
      <c r="AH24" s="71">
        <v>56</v>
      </c>
      <c r="AI24" s="71">
        <v>33</v>
      </c>
      <c r="AJ24" s="71">
        <v>181</v>
      </c>
      <c r="AK24" s="71">
        <v>285</v>
      </c>
      <c r="AL24" s="72">
        <v>2519185</v>
      </c>
    </row>
    <row r="25" spans="1:38" x14ac:dyDescent="0.25">
      <c r="A25" s="2">
        <v>63</v>
      </c>
      <c r="B25" s="69" t="s">
        <v>67</v>
      </c>
      <c r="C25" s="71">
        <v>223</v>
      </c>
      <c r="D25" s="71">
        <v>1713</v>
      </c>
      <c r="E25" s="71">
        <v>281</v>
      </c>
      <c r="F25" s="71">
        <v>345</v>
      </c>
      <c r="G25" s="71">
        <v>279</v>
      </c>
      <c r="H25" s="71">
        <v>541</v>
      </c>
      <c r="I25" s="71">
        <v>21</v>
      </c>
      <c r="J25" s="71">
        <v>229</v>
      </c>
      <c r="K25" s="71">
        <v>79</v>
      </c>
      <c r="L25" s="71">
        <v>196</v>
      </c>
      <c r="M25" s="71">
        <v>1237</v>
      </c>
      <c r="N25" s="71">
        <v>3106</v>
      </c>
      <c r="O25" s="71">
        <v>4111</v>
      </c>
      <c r="P25" s="71">
        <v>694</v>
      </c>
      <c r="Q25" s="71">
        <v>10768</v>
      </c>
      <c r="R25" s="71">
        <v>722</v>
      </c>
      <c r="S25" s="71">
        <v>362</v>
      </c>
      <c r="T25" s="71">
        <v>1477</v>
      </c>
      <c r="U25" s="71">
        <v>1699</v>
      </c>
      <c r="V25" s="71">
        <v>612</v>
      </c>
      <c r="W25" s="71">
        <v>15674</v>
      </c>
      <c r="X25" s="70">
        <v>3761405</v>
      </c>
      <c r="Y25" s="71">
        <v>9904</v>
      </c>
      <c r="Z25" s="71">
        <v>630</v>
      </c>
      <c r="AA25" s="71">
        <v>173</v>
      </c>
      <c r="AB25" s="71">
        <v>202</v>
      </c>
      <c r="AC25" s="71">
        <v>2275</v>
      </c>
      <c r="AD25" s="71">
        <v>58</v>
      </c>
      <c r="AE25" s="71">
        <v>0</v>
      </c>
      <c r="AF25" s="71">
        <v>611</v>
      </c>
      <c r="AG25" s="71">
        <v>13</v>
      </c>
      <c r="AH25" s="71">
        <v>73</v>
      </c>
      <c r="AI25" s="71">
        <v>152</v>
      </c>
      <c r="AJ25" s="71">
        <v>218</v>
      </c>
      <c r="AK25" s="71">
        <v>1002</v>
      </c>
      <c r="AL25" s="72">
        <v>3821085</v>
      </c>
    </row>
    <row r="26" spans="1:38" x14ac:dyDescent="0.25">
      <c r="A26" s="2">
        <v>64</v>
      </c>
      <c r="B26" s="69" t="s">
        <v>68</v>
      </c>
      <c r="C26" s="71">
        <v>270</v>
      </c>
      <c r="D26" s="71">
        <v>2009</v>
      </c>
      <c r="E26" s="71">
        <v>638</v>
      </c>
      <c r="F26" s="71">
        <v>436</v>
      </c>
      <c r="G26" s="71">
        <v>521</v>
      </c>
      <c r="H26" s="71">
        <v>1364</v>
      </c>
      <c r="I26" s="71">
        <v>86</v>
      </c>
      <c r="J26" s="71">
        <v>1366</v>
      </c>
      <c r="K26" s="71">
        <v>224</v>
      </c>
      <c r="L26" s="71">
        <v>270</v>
      </c>
      <c r="M26" s="71">
        <v>3475</v>
      </c>
      <c r="N26" s="71">
        <v>4293</v>
      </c>
      <c r="O26" s="71">
        <v>9142</v>
      </c>
      <c r="P26" s="71">
        <v>1835</v>
      </c>
      <c r="Q26" s="71">
        <v>18237</v>
      </c>
      <c r="R26" s="71">
        <v>917</v>
      </c>
      <c r="S26" s="71">
        <v>314</v>
      </c>
      <c r="T26" s="71">
        <v>1790</v>
      </c>
      <c r="U26" s="71">
        <v>5972</v>
      </c>
      <c r="V26" s="71">
        <v>741</v>
      </c>
      <c r="W26" s="71">
        <v>1602</v>
      </c>
      <c r="X26" s="71">
        <v>7962</v>
      </c>
      <c r="Y26" s="70">
        <v>3439921</v>
      </c>
      <c r="Z26" s="71">
        <v>3994</v>
      </c>
      <c r="AA26" s="71">
        <v>824</v>
      </c>
      <c r="AB26" s="71">
        <v>2334</v>
      </c>
      <c r="AC26" s="71">
        <v>25015</v>
      </c>
      <c r="AD26" s="71">
        <v>1387</v>
      </c>
      <c r="AE26" s="71">
        <v>182</v>
      </c>
      <c r="AF26" s="71">
        <v>4624</v>
      </c>
      <c r="AG26" s="71">
        <v>37</v>
      </c>
      <c r="AH26" s="71">
        <v>53</v>
      </c>
      <c r="AI26" s="71">
        <v>92</v>
      </c>
      <c r="AJ26" s="71">
        <v>378</v>
      </c>
      <c r="AK26" s="71">
        <v>1396</v>
      </c>
      <c r="AL26" s="72">
        <v>3543701</v>
      </c>
    </row>
    <row r="27" spans="1:38" x14ac:dyDescent="0.25">
      <c r="A27" s="2">
        <v>65</v>
      </c>
      <c r="B27" s="69" t="s">
        <v>69</v>
      </c>
      <c r="C27" s="71">
        <v>26</v>
      </c>
      <c r="D27" s="71">
        <v>237</v>
      </c>
      <c r="E27" s="71">
        <v>29</v>
      </c>
      <c r="F27" s="71">
        <v>45</v>
      </c>
      <c r="G27" s="71">
        <v>10</v>
      </c>
      <c r="H27" s="71">
        <v>56</v>
      </c>
      <c r="I27" s="71">
        <v>6</v>
      </c>
      <c r="J27" s="71">
        <v>127</v>
      </c>
      <c r="K27" s="71">
        <v>7</v>
      </c>
      <c r="L27" s="71">
        <v>129</v>
      </c>
      <c r="M27" s="71">
        <v>453</v>
      </c>
      <c r="N27" s="71">
        <v>695</v>
      </c>
      <c r="O27" s="71">
        <v>1536</v>
      </c>
      <c r="P27" s="71">
        <v>651</v>
      </c>
      <c r="Q27" s="71">
        <v>2611</v>
      </c>
      <c r="R27" s="71">
        <v>46</v>
      </c>
      <c r="S27" s="71">
        <v>49</v>
      </c>
      <c r="T27" s="71">
        <v>174</v>
      </c>
      <c r="U27" s="71">
        <v>1272</v>
      </c>
      <c r="V27" s="71">
        <v>21</v>
      </c>
      <c r="W27" s="71">
        <v>119</v>
      </c>
      <c r="X27" s="71">
        <v>541</v>
      </c>
      <c r="Y27" s="71">
        <v>4034</v>
      </c>
      <c r="Z27" s="70">
        <v>640389</v>
      </c>
      <c r="AA27" s="71">
        <v>105</v>
      </c>
      <c r="AB27" s="71">
        <v>1388</v>
      </c>
      <c r="AC27" s="71">
        <v>7906</v>
      </c>
      <c r="AD27" s="71">
        <v>462</v>
      </c>
      <c r="AE27" s="71">
        <v>36</v>
      </c>
      <c r="AF27" s="71">
        <v>435</v>
      </c>
      <c r="AG27" s="71">
        <v>0</v>
      </c>
      <c r="AH27" s="71">
        <v>0</v>
      </c>
      <c r="AI27" s="71">
        <v>52</v>
      </c>
      <c r="AJ27" s="71">
        <v>130</v>
      </c>
      <c r="AK27" s="71">
        <v>2758</v>
      </c>
      <c r="AL27" s="72">
        <v>666533</v>
      </c>
    </row>
    <row r="28" spans="1:38" x14ac:dyDescent="0.25">
      <c r="A28" s="2">
        <v>71</v>
      </c>
      <c r="B28" s="69" t="s">
        <v>70</v>
      </c>
      <c r="C28" s="71">
        <v>31</v>
      </c>
      <c r="D28" s="71">
        <v>545</v>
      </c>
      <c r="E28" s="71">
        <v>18</v>
      </c>
      <c r="F28" s="71">
        <v>55</v>
      </c>
      <c r="G28" s="71">
        <v>17</v>
      </c>
      <c r="H28" s="71">
        <v>136</v>
      </c>
      <c r="I28" s="71">
        <v>0</v>
      </c>
      <c r="J28" s="71">
        <v>21</v>
      </c>
      <c r="K28" s="71">
        <v>4</v>
      </c>
      <c r="L28" s="71">
        <v>425</v>
      </c>
      <c r="M28" s="71">
        <v>2596</v>
      </c>
      <c r="N28" s="71">
        <v>1856</v>
      </c>
      <c r="O28" s="71">
        <v>904</v>
      </c>
      <c r="P28" s="71">
        <v>277</v>
      </c>
      <c r="Q28" s="71">
        <v>1699</v>
      </c>
      <c r="R28" s="71">
        <v>216</v>
      </c>
      <c r="S28" s="71">
        <v>395</v>
      </c>
      <c r="T28" s="71">
        <v>139</v>
      </c>
      <c r="U28" s="71">
        <v>303</v>
      </c>
      <c r="V28" s="71">
        <v>169</v>
      </c>
      <c r="W28" s="71">
        <v>69</v>
      </c>
      <c r="X28" s="71">
        <v>226</v>
      </c>
      <c r="Y28" s="71">
        <v>813</v>
      </c>
      <c r="Z28" s="71">
        <v>246</v>
      </c>
      <c r="AA28" s="70">
        <v>2431519</v>
      </c>
      <c r="AB28" s="71">
        <v>2951</v>
      </c>
      <c r="AC28" s="71">
        <v>3384</v>
      </c>
      <c r="AD28" s="71">
        <v>361</v>
      </c>
      <c r="AE28" s="71">
        <v>5819</v>
      </c>
      <c r="AF28" s="71">
        <v>225</v>
      </c>
      <c r="AG28" s="71">
        <v>636</v>
      </c>
      <c r="AH28" s="71">
        <v>1824</v>
      </c>
      <c r="AI28" s="71">
        <v>1554</v>
      </c>
      <c r="AJ28" s="71">
        <v>2904</v>
      </c>
      <c r="AK28" s="71">
        <v>511</v>
      </c>
      <c r="AL28" s="72">
        <v>2462849</v>
      </c>
    </row>
    <row r="29" spans="1:38" x14ac:dyDescent="0.25">
      <c r="A29" s="2">
        <v>72</v>
      </c>
      <c r="B29" s="69" t="s">
        <v>71</v>
      </c>
      <c r="C29" s="71">
        <v>170</v>
      </c>
      <c r="D29" s="71">
        <v>972</v>
      </c>
      <c r="E29" s="71">
        <v>262</v>
      </c>
      <c r="F29" s="71">
        <v>105</v>
      </c>
      <c r="G29" s="71">
        <v>128</v>
      </c>
      <c r="H29" s="71">
        <v>129</v>
      </c>
      <c r="I29" s="71">
        <v>53</v>
      </c>
      <c r="J29" s="71">
        <v>74</v>
      </c>
      <c r="K29" s="71">
        <v>69</v>
      </c>
      <c r="L29" s="71">
        <v>95</v>
      </c>
      <c r="M29" s="71">
        <v>1033</v>
      </c>
      <c r="N29" s="71">
        <v>1513</v>
      </c>
      <c r="O29" s="71">
        <v>1114</v>
      </c>
      <c r="P29" s="71">
        <v>531</v>
      </c>
      <c r="Q29" s="71">
        <v>1995</v>
      </c>
      <c r="R29" s="71">
        <v>365</v>
      </c>
      <c r="S29" s="71">
        <v>713</v>
      </c>
      <c r="T29" s="71">
        <v>169</v>
      </c>
      <c r="U29" s="71">
        <v>319</v>
      </c>
      <c r="V29" s="71">
        <v>74</v>
      </c>
      <c r="W29" s="71">
        <v>340</v>
      </c>
      <c r="X29" s="71">
        <v>163</v>
      </c>
      <c r="Y29" s="71">
        <v>3228</v>
      </c>
      <c r="Z29" s="71">
        <v>2140</v>
      </c>
      <c r="AA29" s="71">
        <v>3265</v>
      </c>
      <c r="AB29" s="70">
        <v>2741996</v>
      </c>
      <c r="AC29" s="71">
        <v>15749</v>
      </c>
      <c r="AD29" s="71">
        <v>2301</v>
      </c>
      <c r="AE29" s="71">
        <v>3274</v>
      </c>
      <c r="AF29" s="71">
        <v>3150</v>
      </c>
      <c r="AG29" s="71">
        <v>189</v>
      </c>
      <c r="AH29" s="71">
        <v>392</v>
      </c>
      <c r="AI29" s="71">
        <v>243</v>
      </c>
      <c r="AJ29" s="71">
        <v>653</v>
      </c>
      <c r="AK29" s="71">
        <v>707</v>
      </c>
      <c r="AL29" s="72">
        <v>2787674</v>
      </c>
    </row>
    <row r="30" spans="1:38" x14ac:dyDescent="0.25">
      <c r="A30" s="2">
        <v>73</v>
      </c>
      <c r="B30" s="69" t="s">
        <v>72</v>
      </c>
      <c r="C30" s="71">
        <v>72</v>
      </c>
      <c r="D30" s="71">
        <v>529</v>
      </c>
      <c r="E30" s="71">
        <v>650</v>
      </c>
      <c r="F30" s="71">
        <v>434</v>
      </c>
      <c r="G30" s="71">
        <v>384</v>
      </c>
      <c r="H30" s="71">
        <v>864</v>
      </c>
      <c r="I30" s="71">
        <v>41</v>
      </c>
      <c r="J30" s="71">
        <v>267</v>
      </c>
      <c r="K30" s="71">
        <v>184</v>
      </c>
      <c r="L30" s="71">
        <v>877</v>
      </c>
      <c r="M30" s="71">
        <v>4428</v>
      </c>
      <c r="N30" s="71">
        <v>4636</v>
      </c>
      <c r="O30" s="71">
        <v>3063</v>
      </c>
      <c r="P30" s="71">
        <v>416</v>
      </c>
      <c r="Q30" s="71">
        <v>4022</v>
      </c>
      <c r="R30" s="71">
        <v>765</v>
      </c>
      <c r="S30" s="71">
        <v>607</v>
      </c>
      <c r="T30" s="71">
        <v>1188</v>
      </c>
      <c r="U30" s="71">
        <v>3535</v>
      </c>
      <c r="V30" s="71">
        <v>455</v>
      </c>
      <c r="W30" s="71">
        <v>679</v>
      </c>
      <c r="X30" s="71">
        <v>2527</v>
      </c>
      <c r="Y30" s="71">
        <v>25914</v>
      </c>
      <c r="Z30" s="71">
        <v>7642</v>
      </c>
      <c r="AA30" s="71">
        <v>1756</v>
      </c>
      <c r="AB30" s="71">
        <v>12121</v>
      </c>
      <c r="AC30" s="70">
        <v>8331895</v>
      </c>
      <c r="AD30" s="71">
        <v>12745</v>
      </c>
      <c r="AE30" s="71">
        <v>602</v>
      </c>
      <c r="AF30" s="71">
        <v>11033</v>
      </c>
      <c r="AG30" s="71">
        <v>2203</v>
      </c>
      <c r="AH30" s="71">
        <v>1972</v>
      </c>
      <c r="AI30" s="71">
        <v>4800</v>
      </c>
      <c r="AJ30" s="71">
        <v>15162</v>
      </c>
      <c r="AK30" s="71">
        <v>28728</v>
      </c>
      <c r="AL30" s="72">
        <v>8487196</v>
      </c>
    </row>
    <row r="31" spans="1:38" x14ac:dyDescent="0.25">
      <c r="A31" s="2">
        <v>74</v>
      </c>
      <c r="B31" s="69" t="s">
        <v>73</v>
      </c>
      <c r="C31" s="71">
        <v>360</v>
      </c>
      <c r="D31" s="71">
        <v>418</v>
      </c>
      <c r="E31" s="71">
        <v>147</v>
      </c>
      <c r="F31" s="71">
        <v>591</v>
      </c>
      <c r="G31" s="71">
        <v>71</v>
      </c>
      <c r="H31" s="71">
        <v>77</v>
      </c>
      <c r="I31" s="71">
        <v>0</v>
      </c>
      <c r="J31" s="71">
        <v>237</v>
      </c>
      <c r="K31" s="71">
        <v>555</v>
      </c>
      <c r="L31" s="71">
        <v>1130</v>
      </c>
      <c r="M31" s="71">
        <v>1383</v>
      </c>
      <c r="N31" s="71">
        <v>1574</v>
      </c>
      <c r="O31" s="71">
        <v>1125</v>
      </c>
      <c r="P31" s="71">
        <v>509</v>
      </c>
      <c r="Q31" s="71">
        <v>1855</v>
      </c>
      <c r="R31" s="71">
        <v>134</v>
      </c>
      <c r="S31" s="71">
        <v>550</v>
      </c>
      <c r="T31" s="71">
        <v>333</v>
      </c>
      <c r="U31" s="71">
        <v>447</v>
      </c>
      <c r="V31" s="71">
        <v>219</v>
      </c>
      <c r="W31" s="71">
        <v>124</v>
      </c>
      <c r="X31" s="71">
        <v>519</v>
      </c>
      <c r="Y31" s="71">
        <v>3651</v>
      </c>
      <c r="Z31" s="71">
        <v>635</v>
      </c>
      <c r="AA31" s="71">
        <v>1597</v>
      </c>
      <c r="AB31" s="71">
        <v>3423</v>
      </c>
      <c r="AC31" s="71">
        <v>24021</v>
      </c>
      <c r="AD31" s="70">
        <v>2369492</v>
      </c>
      <c r="AE31" s="71">
        <v>382</v>
      </c>
      <c r="AF31" s="71">
        <v>1302</v>
      </c>
      <c r="AG31" s="71">
        <v>6548</v>
      </c>
      <c r="AH31" s="71">
        <v>3518</v>
      </c>
      <c r="AI31" s="71">
        <v>6549</v>
      </c>
      <c r="AJ31" s="71">
        <v>7242</v>
      </c>
      <c r="AK31" s="71">
        <v>3512</v>
      </c>
      <c r="AL31" s="72">
        <v>2444232</v>
      </c>
    </row>
    <row r="32" spans="1:38" x14ac:dyDescent="0.25">
      <c r="A32" s="2">
        <v>75</v>
      </c>
      <c r="B32" s="69" t="s">
        <v>74</v>
      </c>
      <c r="C32" s="71">
        <v>173</v>
      </c>
      <c r="D32" s="71">
        <v>93</v>
      </c>
      <c r="E32" s="71">
        <v>27</v>
      </c>
      <c r="F32" s="71">
        <v>76</v>
      </c>
      <c r="G32" s="71">
        <v>114</v>
      </c>
      <c r="H32" s="71">
        <v>2</v>
      </c>
      <c r="I32" s="71">
        <v>37</v>
      </c>
      <c r="J32" s="71">
        <v>89</v>
      </c>
      <c r="K32" s="71">
        <v>0</v>
      </c>
      <c r="L32" s="71">
        <v>0</v>
      </c>
      <c r="M32" s="71">
        <v>533</v>
      </c>
      <c r="N32" s="71">
        <v>577</v>
      </c>
      <c r="O32" s="71">
        <v>206</v>
      </c>
      <c r="P32" s="71">
        <v>72</v>
      </c>
      <c r="Q32" s="71">
        <v>454</v>
      </c>
      <c r="R32" s="71">
        <v>213</v>
      </c>
      <c r="S32" s="71">
        <v>31</v>
      </c>
      <c r="T32" s="71">
        <v>118</v>
      </c>
      <c r="U32" s="71">
        <v>103</v>
      </c>
      <c r="V32" s="71">
        <v>64</v>
      </c>
      <c r="W32" s="71">
        <v>94</v>
      </c>
      <c r="X32" s="71">
        <v>35</v>
      </c>
      <c r="Y32" s="71">
        <v>305</v>
      </c>
      <c r="Z32" s="71">
        <v>103</v>
      </c>
      <c r="AA32" s="71">
        <v>8651</v>
      </c>
      <c r="AB32" s="71">
        <v>5148</v>
      </c>
      <c r="AC32" s="71">
        <v>1483</v>
      </c>
      <c r="AD32" s="71">
        <v>342</v>
      </c>
      <c r="AE32" s="70">
        <v>1074472</v>
      </c>
      <c r="AF32" s="71">
        <v>59</v>
      </c>
      <c r="AG32" s="71">
        <v>124</v>
      </c>
      <c r="AH32" s="71">
        <v>567</v>
      </c>
      <c r="AI32" s="71">
        <v>83</v>
      </c>
      <c r="AJ32" s="71">
        <v>370</v>
      </c>
      <c r="AK32" s="71">
        <v>7</v>
      </c>
      <c r="AL32" s="72">
        <v>1094826</v>
      </c>
    </row>
    <row r="33" spans="1:38" x14ac:dyDescent="0.25">
      <c r="A33" s="2">
        <v>76</v>
      </c>
      <c r="B33" s="69" t="s">
        <v>75</v>
      </c>
      <c r="C33" s="71">
        <v>32</v>
      </c>
      <c r="D33" s="71">
        <v>150</v>
      </c>
      <c r="E33" s="71">
        <v>56</v>
      </c>
      <c r="F33" s="71">
        <v>16</v>
      </c>
      <c r="G33" s="71">
        <v>43</v>
      </c>
      <c r="H33" s="71">
        <v>35</v>
      </c>
      <c r="I33" s="71">
        <v>101</v>
      </c>
      <c r="J33" s="71">
        <v>38</v>
      </c>
      <c r="K33" s="71">
        <v>38</v>
      </c>
      <c r="L33" s="71">
        <v>83</v>
      </c>
      <c r="M33" s="71">
        <v>335</v>
      </c>
      <c r="N33" s="71">
        <v>386</v>
      </c>
      <c r="O33" s="71">
        <v>436</v>
      </c>
      <c r="P33" s="71">
        <v>144</v>
      </c>
      <c r="Q33" s="71">
        <v>930</v>
      </c>
      <c r="R33" s="71">
        <v>8</v>
      </c>
      <c r="S33" s="71">
        <v>388</v>
      </c>
      <c r="T33" s="71">
        <v>158</v>
      </c>
      <c r="U33" s="71">
        <v>318</v>
      </c>
      <c r="V33" s="71">
        <v>87</v>
      </c>
      <c r="W33" s="71">
        <v>163</v>
      </c>
      <c r="X33" s="71">
        <v>530</v>
      </c>
      <c r="Y33" s="71">
        <v>4442</v>
      </c>
      <c r="Z33" s="71">
        <v>846</v>
      </c>
      <c r="AA33" s="71">
        <v>108</v>
      </c>
      <c r="AB33" s="71">
        <v>4714</v>
      </c>
      <c r="AC33" s="71">
        <v>14890</v>
      </c>
      <c r="AD33" s="71">
        <v>661</v>
      </c>
      <c r="AE33" s="71">
        <v>48</v>
      </c>
      <c r="AF33" s="70">
        <v>1283945</v>
      </c>
      <c r="AG33" s="71">
        <v>132</v>
      </c>
      <c r="AH33" s="71">
        <v>59</v>
      </c>
      <c r="AI33" s="71">
        <v>129</v>
      </c>
      <c r="AJ33" s="71">
        <v>356</v>
      </c>
      <c r="AK33" s="71">
        <v>3603</v>
      </c>
      <c r="AL33" s="72">
        <v>1318409</v>
      </c>
    </row>
    <row r="34" spans="1:38" x14ac:dyDescent="0.25">
      <c r="A34" s="2">
        <v>81</v>
      </c>
      <c r="B34" s="69" t="s">
        <v>76</v>
      </c>
      <c r="C34" s="71">
        <v>102</v>
      </c>
      <c r="D34" s="71">
        <v>550</v>
      </c>
      <c r="E34" s="71">
        <v>64</v>
      </c>
      <c r="F34" s="71">
        <v>249</v>
      </c>
      <c r="G34" s="71">
        <v>15</v>
      </c>
      <c r="H34" s="71">
        <v>21</v>
      </c>
      <c r="I34" s="71">
        <v>0</v>
      </c>
      <c r="J34" s="71">
        <v>154</v>
      </c>
      <c r="K34" s="71">
        <v>0</v>
      </c>
      <c r="L34" s="71">
        <v>64</v>
      </c>
      <c r="M34" s="71">
        <v>1417</v>
      </c>
      <c r="N34" s="71">
        <v>1733</v>
      </c>
      <c r="O34" s="71">
        <v>867</v>
      </c>
      <c r="P34" s="71">
        <v>586</v>
      </c>
      <c r="Q34" s="71">
        <v>2502</v>
      </c>
      <c r="R34" s="71">
        <v>286</v>
      </c>
      <c r="S34" s="71">
        <v>181</v>
      </c>
      <c r="T34" s="71">
        <v>45</v>
      </c>
      <c r="U34" s="71">
        <v>733</v>
      </c>
      <c r="V34" s="71">
        <v>46</v>
      </c>
      <c r="W34" s="71">
        <v>20</v>
      </c>
      <c r="X34" s="71">
        <v>203</v>
      </c>
      <c r="Y34" s="71">
        <v>139</v>
      </c>
      <c r="Z34" s="71">
        <v>97</v>
      </c>
      <c r="AA34" s="71">
        <v>841</v>
      </c>
      <c r="AB34" s="71">
        <v>274</v>
      </c>
      <c r="AC34" s="71">
        <v>2601</v>
      </c>
      <c r="AD34" s="71">
        <v>2879</v>
      </c>
      <c r="AE34" s="71">
        <v>77</v>
      </c>
      <c r="AF34" s="71">
        <v>109</v>
      </c>
      <c r="AG34" s="70">
        <v>1691954</v>
      </c>
      <c r="AH34" s="71">
        <v>1996</v>
      </c>
      <c r="AI34" s="71">
        <v>3222</v>
      </c>
      <c r="AJ34" s="71">
        <v>4698</v>
      </c>
      <c r="AK34" s="71">
        <v>238</v>
      </c>
      <c r="AL34" s="72">
        <v>1718964</v>
      </c>
    </row>
    <row r="35" spans="1:38" x14ac:dyDescent="0.25">
      <c r="A35" s="2">
        <v>82</v>
      </c>
      <c r="B35" s="69" t="s">
        <v>77</v>
      </c>
      <c r="C35" s="71">
        <v>46</v>
      </c>
      <c r="D35" s="71">
        <v>87</v>
      </c>
      <c r="E35" s="71">
        <v>135</v>
      </c>
      <c r="F35" s="71">
        <v>9</v>
      </c>
      <c r="G35" s="71">
        <v>15</v>
      </c>
      <c r="H35" s="71">
        <v>57</v>
      </c>
      <c r="I35" s="71">
        <v>63</v>
      </c>
      <c r="J35" s="71">
        <v>0</v>
      </c>
      <c r="K35" s="71">
        <v>15</v>
      </c>
      <c r="L35" s="71">
        <v>92</v>
      </c>
      <c r="M35" s="71">
        <v>480</v>
      </c>
      <c r="N35" s="71">
        <v>490</v>
      </c>
      <c r="O35" s="71">
        <v>696</v>
      </c>
      <c r="P35" s="71">
        <v>346</v>
      </c>
      <c r="Q35" s="71">
        <v>1084</v>
      </c>
      <c r="R35" s="71">
        <v>51</v>
      </c>
      <c r="S35" s="71">
        <v>62</v>
      </c>
      <c r="T35" s="71">
        <v>73</v>
      </c>
      <c r="U35" s="71">
        <v>73</v>
      </c>
      <c r="V35" s="71">
        <v>52</v>
      </c>
      <c r="W35" s="71">
        <v>37</v>
      </c>
      <c r="X35" s="71">
        <v>31</v>
      </c>
      <c r="Y35" s="71">
        <v>42</v>
      </c>
      <c r="Z35" s="71">
        <v>0</v>
      </c>
      <c r="AA35" s="71">
        <v>2081</v>
      </c>
      <c r="AB35" s="71">
        <v>676</v>
      </c>
      <c r="AC35" s="71">
        <v>2514</v>
      </c>
      <c r="AD35" s="71">
        <v>2217</v>
      </c>
      <c r="AE35" s="71">
        <v>332</v>
      </c>
      <c r="AF35" s="71">
        <v>46</v>
      </c>
      <c r="AG35" s="71">
        <v>1502</v>
      </c>
      <c r="AH35" s="70">
        <v>1180970</v>
      </c>
      <c r="AI35" s="71">
        <v>922</v>
      </c>
      <c r="AJ35" s="71">
        <v>808</v>
      </c>
      <c r="AK35" s="71">
        <v>3</v>
      </c>
      <c r="AL35" s="72">
        <v>1196106</v>
      </c>
    </row>
    <row r="36" spans="1:38" x14ac:dyDescent="0.25">
      <c r="A36" s="2">
        <v>91</v>
      </c>
      <c r="B36" s="69" t="s">
        <v>78</v>
      </c>
      <c r="C36" s="71">
        <v>32</v>
      </c>
      <c r="D36" s="71">
        <v>583</v>
      </c>
      <c r="E36" s="71">
        <v>108</v>
      </c>
      <c r="F36" s="71">
        <v>67</v>
      </c>
      <c r="G36" s="71">
        <v>4</v>
      </c>
      <c r="H36" s="71">
        <v>305</v>
      </c>
      <c r="I36" s="71">
        <v>20</v>
      </c>
      <c r="J36" s="71">
        <v>126</v>
      </c>
      <c r="K36" s="71">
        <v>0</v>
      </c>
      <c r="L36" s="71">
        <v>48</v>
      </c>
      <c r="M36" s="71">
        <v>969</v>
      </c>
      <c r="N36" s="71">
        <v>1086</v>
      </c>
      <c r="O36" s="71">
        <v>1146</v>
      </c>
      <c r="P36" s="71">
        <v>543</v>
      </c>
      <c r="Q36" s="71">
        <v>3511</v>
      </c>
      <c r="R36" s="71">
        <v>210</v>
      </c>
      <c r="S36" s="71">
        <v>202</v>
      </c>
      <c r="T36" s="71">
        <v>164</v>
      </c>
      <c r="U36" s="71">
        <v>2030</v>
      </c>
      <c r="V36" s="71">
        <v>135</v>
      </c>
      <c r="W36" s="71">
        <v>6</v>
      </c>
      <c r="X36" s="71">
        <v>30</v>
      </c>
      <c r="Y36" s="71">
        <v>213</v>
      </c>
      <c r="Z36" s="71">
        <v>29</v>
      </c>
      <c r="AA36" s="71">
        <v>1655</v>
      </c>
      <c r="AB36" s="71">
        <v>484</v>
      </c>
      <c r="AC36" s="71">
        <v>6494</v>
      </c>
      <c r="AD36" s="71">
        <v>2754</v>
      </c>
      <c r="AE36" s="71">
        <v>63</v>
      </c>
      <c r="AF36" s="71">
        <v>183</v>
      </c>
      <c r="AG36" s="71">
        <v>5010</v>
      </c>
      <c r="AH36" s="71">
        <v>1022</v>
      </c>
      <c r="AI36" s="70">
        <v>1044522</v>
      </c>
      <c r="AJ36" s="71">
        <v>5998</v>
      </c>
      <c r="AK36" s="71">
        <v>83</v>
      </c>
      <c r="AL36" s="72">
        <v>1079836</v>
      </c>
    </row>
    <row r="37" spans="1:38" x14ac:dyDescent="0.25">
      <c r="A37" s="2">
        <v>94</v>
      </c>
      <c r="B37" s="69" t="s">
        <v>80</v>
      </c>
      <c r="C37" s="71">
        <v>153</v>
      </c>
      <c r="D37" s="71">
        <v>1289</v>
      </c>
      <c r="E37" s="71">
        <v>163</v>
      </c>
      <c r="F37" s="71">
        <v>141</v>
      </c>
      <c r="G37" s="71">
        <v>69</v>
      </c>
      <c r="H37" s="71">
        <v>79</v>
      </c>
      <c r="I37" s="71">
        <v>30</v>
      </c>
      <c r="J37" s="71">
        <v>334</v>
      </c>
      <c r="K37" s="71">
        <v>0</v>
      </c>
      <c r="L37" s="71">
        <v>161</v>
      </c>
      <c r="M37" s="71">
        <v>1095</v>
      </c>
      <c r="N37" s="71">
        <v>1124</v>
      </c>
      <c r="O37" s="71">
        <v>2548</v>
      </c>
      <c r="P37" s="71">
        <v>522</v>
      </c>
      <c r="Q37" s="71">
        <v>4626</v>
      </c>
      <c r="R37" s="71">
        <v>372</v>
      </c>
      <c r="S37" s="71">
        <v>185</v>
      </c>
      <c r="T37" s="71">
        <v>604</v>
      </c>
      <c r="U37" s="71">
        <v>3950</v>
      </c>
      <c r="V37" s="71">
        <v>173</v>
      </c>
      <c r="W37" s="71">
        <v>11</v>
      </c>
      <c r="X37" s="71">
        <v>77</v>
      </c>
      <c r="Y37" s="71">
        <v>106</v>
      </c>
      <c r="Z37" s="71">
        <v>40</v>
      </c>
      <c r="AA37" s="71">
        <v>1195</v>
      </c>
      <c r="AB37" s="71">
        <v>286</v>
      </c>
      <c r="AC37" s="71">
        <v>10497</v>
      </c>
      <c r="AD37" s="71">
        <v>2348</v>
      </c>
      <c r="AE37" s="71">
        <v>81</v>
      </c>
      <c r="AF37" s="71">
        <v>176</v>
      </c>
      <c r="AG37" s="71">
        <v>3636</v>
      </c>
      <c r="AH37" s="71">
        <v>326</v>
      </c>
      <c r="AI37" s="71">
        <v>2386</v>
      </c>
      <c r="AJ37" s="70">
        <v>3970085</v>
      </c>
      <c r="AK37" s="71">
        <v>357</v>
      </c>
      <c r="AL37" s="72">
        <v>4009223</v>
      </c>
    </row>
    <row r="38" spans="1:38" x14ac:dyDescent="0.25">
      <c r="B38" s="73" t="s">
        <v>600</v>
      </c>
      <c r="C38" s="74">
        <v>4913108</v>
      </c>
      <c r="D38" s="74">
        <v>13767790</v>
      </c>
      <c r="E38" s="74">
        <v>5096363</v>
      </c>
      <c r="F38" s="74">
        <v>6018435</v>
      </c>
      <c r="G38" s="74">
        <v>3326144</v>
      </c>
      <c r="H38" s="74">
        <v>7920374</v>
      </c>
      <c r="I38" s="74">
        <v>1878206</v>
      </c>
      <c r="J38" s="74">
        <v>8385815</v>
      </c>
      <c r="K38" s="74">
        <v>1359080</v>
      </c>
      <c r="L38" s="74">
        <v>1974067</v>
      </c>
      <c r="M38" s="74">
        <v>10466217</v>
      </c>
      <c r="N38" s="74">
        <v>45240209</v>
      </c>
      <c r="O38" s="74">
        <v>33987051</v>
      </c>
      <c r="P38" s="74">
        <v>3434758</v>
      </c>
      <c r="Q38" s="74">
        <v>38282735</v>
      </c>
      <c r="R38" s="74">
        <v>11200514</v>
      </c>
      <c r="S38" s="74">
        <v>4137226</v>
      </c>
      <c r="T38" s="74">
        <v>4842616</v>
      </c>
      <c r="U38" s="74">
        <v>4854553</v>
      </c>
      <c r="V38" s="74">
        <v>5052080</v>
      </c>
      <c r="W38" s="74">
        <v>2523030</v>
      </c>
      <c r="X38" s="74">
        <v>3815270</v>
      </c>
      <c r="Y38" s="74">
        <v>3567006</v>
      </c>
      <c r="Z38" s="74">
        <v>666464</v>
      </c>
      <c r="AA38" s="74">
        <v>2463095</v>
      </c>
      <c r="AB38" s="74">
        <v>2786079</v>
      </c>
      <c r="AC38" s="74">
        <v>8485565</v>
      </c>
      <c r="AD38" s="74">
        <v>2405415</v>
      </c>
      <c r="AE38" s="74">
        <v>1087326</v>
      </c>
      <c r="AF38" s="74">
        <v>1308028</v>
      </c>
      <c r="AG38" s="74">
        <v>1721705</v>
      </c>
      <c r="AH38" s="74">
        <v>1196254</v>
      </c>
      <c r="AI38" s="74">
        <v>1076176</v>
      </c>
      <c r="AJ38" s="74">
        <v>4039479</v>
      </c>
      <c r="AK38" s="74">
        <v>401114</v>
      </c>
      <c r="AL38" s="74">
        <v>253679348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A1_indikator</vt:lpstr>
      <vt:lpstr>A2_umur_total</vt:lpstr>
      <vt:lpstr>A3_umur_jk</vt:lpstr>
      <vt:lpstr>B_provinsi</vt:lpstr>
      <vt:lpstr>C_matriks_raw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key ayliyanda</cp:lastModifiedBy>
  <cp:revision>0</cp:revision>
  <dcterms:created xsi:type="dcterms:W3CDTF">2026-10-02T07:00:19Z</dcterms:created>
  <dcterms:modified xsi:type="dcterms:W3CDTF">2026-10-02T16:10:48Z</dcterms:modified>
  <dc:language>en-US</dc:language>
</cp:coreProperties>
</file>